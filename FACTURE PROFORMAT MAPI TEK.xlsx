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1\OneDrive\Desktop\"/>
    </mc:Choice>
  </mc:AlternateContent>
  <xr:revisionPtr revIDLastSave="0" documentId="8_{F8779A25-5959-4EB9-9591-A88D87EDF206}" xr6:coauthVersionLast="47" xr6:coauthVersionMax="47" xr10:uidLastSave="{00000000-0000-0000-0000-000000000000}"/>
  <bookViews>
    <workbookView xWindow="-110" yWindow="-110" windowWidth="22780" windowHeight="14540" xr2:uid="{E9E41585-1427-4B6E-89C7-3497D4F7C145}"/>
  </bookViews>
  <sheets>
    <sheet name="fc 01-2026 (2)" sheetId="1" r:id="rId1"/>
  </sheets>
  <definedNames>
    <definedName name="_xlnm.Print_Area" localSheetId="0">'fc 01-2026 (2)'!$A$1:$AI$48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4" i="1" l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 s="1"/>
  <c r="AD43" i="1" s="1"/>
</calcChain>
</file>

<file path=xl/sharedStrings.xml><?xml version="1.0" encoding="utf-8"?>
<sst xmlns="http://schemas.openxmlformats.org/spreadsheetml/2006/main" count="94" uniqueCount="79">
  <si>
    <t>Cachet et Signature</t>
  </si>
  <si>
    <t>L'entreprise</t>
  </si>
  <si>
    <t>Mode de Paiment</t>
  </si>
  <si>
    <t>TOTAL TTC</t>
  </si>
  <si>
    <t>Un million six cent vingt-cinq mille neuf cent dix-huit DA et quarante-deux centimes</t>
  </si>
  <si>
    <t xml:space="preserve">TVA 19%        </t>
  </si>
  <si>
    <r>
      <t>Arrêtez le Présent facture à la somme de</t>
    </r>
    <r>
      <rPr>
        <b/>
        <u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 </t>
    </r>
  </si>
  <si>
    <t>TOTAL HT</t>
  </si>
  <si>
    <t>ml</t>
  </si>
  <si>
    <t>Fourniture et pose plinthe pvc  et toutes sujétions de bonne exécution.</t>
  </si>
  <si>
    <t>18</t>
  </si>
  <si>
    <t>m²</t>
  </si>
  <si>
    <t>Fourniture et pose peinture satine y compris deux couche enduit general + deux couche fixateure et toutes sujétions de bonne exécution.</t>
  </si>
  <si>
    <t>17</t>
  </si>
  <si>
    <t>U</t>
  </si>
  <si>
    <t>Fourniture et pose d’une porte en aluminium à (TPR)BLANC, de dimensions (1,00 × 1,20)mètres verre feuillete ,et toutes sujétions de bonne exécution.</t>
  </si>
  <si>
    <t>16</t>
  </si>
  <si>
    <t>Fourniture et pose d’une fenêtre en aluminium à (TPR)BLANC, de dimensions (2,00 × 1,20)mètres verre feuillete , et  toutes sujétions de bonne exécution.</t>
  </si>
  <si>
    <t>15</t>
  </si>
  <si>
    <t>Fourniture et pose d’une fenêtre en aluminium à (TPR)BLANC, de dimensions (1,00 × 1,20)mètres verre feuillete ,et  toutes sujétions de bonne exécution.</t>
  </si>
  <si>
    <t>14</t>
  </si>
  <si>
    <t>Fourniture et pose d’une fenêtre en aluminium à (TPR)BLANC, de dimensions (1,20 × 1,20)mètres verre feuillete ,et  toutes sujétions de bonne exécution.</t>
  </si>
  <si>
    <t>13</t>
  </si>
  <si>
    <t>Fourniture et pose d’un revêtement mural en plaque de plâtre (BA13) metre linéaire, y compris sedure fixation et toutes sujétions de bonne exécution.</t>
  </si>
  <si>
    <t>12</t>
  </si>
  <si>
    <t>Fourniture et pose d’un revêtement mural en plaque de plâtre (BA13), et  toutes sujétions de bonne exécution.</t>
  </si>
  <si>
    <t>11</t>
  </si>
  <si>
    <t>Fourniture et pose d’un faux plafond démontable en plaques de plâtre de (60 * 60 centimètres), et  toutes sujétions de bonne exécution.</t>
  </si>
  <si>
    <t>10</t>
  </si>
  <si>
    <t>Pose de porte, y compris fixations, soudures, finitions, peinture et toutes sujétions de bonne exécution.</t>
  </si>
  <si>
    <t>09</t>
  </si>
  <si>
    <t>Fourniture et pose de tubes rectangulaires de section (50 * 30 millimètres), y compris fixations et toutes sujétions de bonne exécution.</t>
  </si>
  <si>
    <t>08</t>
  </si>
  <si>
    <t>Fourniture et pose d’un enduit au ciment, (mètre linéaire ), et  toutes sujétions de bonne exécution.</t>
  </si>
  <si>
    <t>07</t>
  </si>
  <si>
    <t>Fourniture et pose d’un enduit au ciment, et compris toutes sujétions de bonne exécution.</t>
  </si>
  <si>
    <t>06</t>
  </si>
  <si>
    <t>Fourniture et pose de maçonnerie en briques, (mètre linéaire),et compris toutes sujétions de bonne exécution.</t>
  </si>
  <si>
    <t>05</t>
  </si>
  <si>
    <t>Fourniture et pose du linteaux, et compris toutes sujétions de bonne exécution.</t>
  </si>
  <si>
    <t>04</t>
  </si>
  <si>
    <t>Fourniture et pose du chainage en beton (15*15) cm, y compris fixiation,sedure et toutes sujétions de bonne exécution.</t>
  </si>
  <si>
    <t>03</t>
  </si>
  <si>
    <t>Fourniture et pose mur en briques de 15 cm d’épaisseur, y compris toutes sujétions de bonne exécution.</t>
  </si>
  <si>
    <t>02</t>
  </si>
  <si>
    <t>/</t>
  </si>
  <si>
    <t>ENS</t>
  </si>
  <si>
    <t>Démolition d’un voile en béton armé, y compris netoyage et transport a la decharge publique toutes sujétions de bonne exécution.</t>
  </si>
  <si>
    <t>01</t>
  </si>
  <si>
    <t xml:space="preserve">Montant </t>
  </si>
  <si>
    <t>Prix Unitaire</t>
  </si>
  <si>
    <t>Qté</t>
  </si>
  <si>
    <t>U.M</t>
  </si>
  <si>
    <t>Désignation</t>
  </si>
  <si>
    <t>N°</t>
  </si>
  <si>
    <t xml:space="preserve">Objet: </t>
  </si>
  <si>
    <t>A.I :</t>
  </si>
  <si>
    <t xml:space="preserve"> </t>
  </si>
  <si>
    <t>NIS :</t>
  </si>
  <si>
    <t>001819009350373</t>
  </si>
  <si>
    <t>NIF :</t>
  </si>
  <si>
    <t>18B 0093503-16/00</t>
  </si>
  <si>
    <t>RC N° :</t>
  </si>
  <si>
    <t xml:space="preserve">ZI N° 22 ROUTE DE L'ARBAA EUCALYPTUS 16057 ALGER </t>
  </si>
  <si>
    <t>Adresse :</t>
  </si>
  <si>
    <t>DATE :</t>
  </si>
  <si>
    <t xml:space="preserve">MAPI TEK SPA </t>
  </si>
  <si>
    <t>031/2026</t>
  </si>
  <si>
    <t>FACTURE PROFORMAT N°</t>
  </si>
  <si>
    <t>CLIENT</t>
  </si>
  <si>
    <r>
      <rPr>
        <b/>
        <sz val="10"/>
        <color theme="1"/>
        <rFont val="Arial"/>
        <family val="2"/>
      </rPr>
      <t>RIB :</t>
    </r>
    <r>
      <rPr>
        <sz val="10"/>
        <color theme="1"/>
        <rFont val="Arial"/>
        <family val="2"/>
      </rPr>
      <t xml:space="preserve"> 004 00347 400565861715 CPA</t>
    </r>
  </si>
  <si>
    <t>0560 92 60 45</t>
  </si>
  <si>
    <r>
      <rPr>
        <b/>
        <sz val="10"/>
        <color theme="1"/>
        <rFont val="Arial"/>
        <family val="2"/>
      </rPr>
      <t>AI N°:</t>
    </r>
    <r>
      <rPr>
        <sz val="10"/>
        <color theme="1"/>
        <rFont val="Arial"/>
        <family val="2"/>
      </rPr>
      <t xml:space="preserve"> 19017889831</t>
    </r>
  </si>
  <si>
    <t xml:space="preserve">0550 94 92 11   </t>
  </si>
  <si>
    <t>Tél</t>
  </si>
  <si>
    <t>NIS N°: 002219010003274</t>
  </si>
  <si>
    <r>
      <rPr>
        <b/>
        <sz val="10"/>
        <color theme="1"/>
        <rFont val="Arial"/>
        <family val="2"/>
      </rPr>
      <t>NIFN°:</t>
    </r>
    <r>
      <rPr>
        <sz val="10"/>
        <color theme="1"/>
        <rFont val="Arial"/>
        <family val="2"/>
      </rPr>
      <t xml:space="preserve"> 002219009467796  </t>
    </r>
  </si>
  <si>
    <r>
      <rPr>
        <b/>
        <sz val="10"/>
        <color theme="1"/>
        <rFont val="Arial"/>
        <family val="2"/>
      </rPr>
      <t>RC N°:</t>
    </r>
    <r>
      <rPr>
        <sz val="10"/>
        <color theme="1"/>
        <rFont val="Arial"/>
        <family val="2"/>
      </rPr>
      <t xml:space="preserve"> 22 B 0094677 19/00</t>
    </r>
  </si>
  <si>
    <r>
      <rPr>
        <b/>
        <sz val="22"/>
        <color theme="1"/>
        <rFont val="Arial"/>
        <family val="2"/>
      </rPr>
      <t xml:space="preserve">                             EURL RITEDJ DECO</t>
    </r>
    <r>
      <rPr>
        <sz val="22"/>
        <color theme="1"/>
        <rFont val="Arial"/>
        <family val="2"/>
      </rPr>
      <t xml:space="preserve">    </t>
    </r>
    <r>
      <rPr>
        <sz val="12"/>
        <color theme="1"/>
        <rFont val="Arial"/>
        <family val="2"/>
      </rPr>
      <t xml:space="preserve">                                                                                                   </t>
    </r>
    <r>
      <rPr>
        <b/>
        <sz val="10"/>
        <color theme="1"/>
        <rFont val="Arial"/>
        <family val="2"/>
      </rPr>
      <t>Entreprise de grands traveaux publics et hydroliques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                                                  </t>
    </r>
    <r>
      <rPr>
        <b/>
        <sz val="11"/>
        <color theme="1"/>
        <rFont val="Arial"/>
        <family val="2"/>
      </rPr>
      <t xml:space="preserve">Adresse: </t>
    </r>
    <r>
      <rPr>
        <sz val="11"/>
        <color theme="1"/>
        <rFont val="Arial"/>
        <family val="2"/>
      </rPr>
      <t>Coop immo ouafaa 34 lot hachemi D 65 local N°01, Sétif.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</si>
</sst>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.00\ _D_A_-;\-* #,##0.00\ _D_A_-;_-* &quot;-&quot;??\ _D_A_-;_-@_-"/>
    <numFmt numFmtId="166" formatCode="[$-40C]d\ mmmm\ yyyy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1"/>
      <scheme val="major"/>
    </font>
    <font>
      <sz val="11"/>
      <color theme="1"/>
      <name val="Arial"/>
      <family val="2"/>
    </font>
    <font>
      <b/>
      <sz val="11"/>
      <color theme="1"/>
      <name val="Aptos Display"/>
      <family val="1"/>
      <scheme val="major"/>
    </font>
    <font>
      <b/>
      <sz val="11"/>
      <color theme="1"/>
      <name val="Arial"/>
      <family val="2"/>
    </font>
    <font>
      <b/>
      <u/>
      <sz val="11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ptos Display"/>
      <family val="1"/>
      <scheme val="maj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ngsana New"/>
      <family val="1"/>
      <charset val="222"/>
    </font>
    <font>
      <sz val="11"/>
      <color theme="1"/>
      <name val="Angsana New"/>
      <family val="1"/>
      <charset val="222"/>
    </font>
    <font>
      <b/>
      <sz val="22"/>
      <color theme="1"/>
      <name val="Arial"/>
      <family val="2"/>
    </font>
    <font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164" fontId="7" fillId="0" borderId="8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164" fontId="7" fillId="2" borderId="11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0" borderId="11" xfId="1" applyFont="1" applyBorder="1" applyAlignment="1">
      <alignment horizontal="center" vertical="center"/>
    </xf>
    <xf numFmtId="164" fontId="7" fillId="0" borderId="10" xfId="1" applyFont="1" applyBorder="1" applyAlignment="1">
      <alignment horizontal="center" vertical="center"/>
    </xf>
    <xf numFmtId="164" fontId="7" fillId="0" borderId="12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164" fontId="8" fillId="0" borderId="0" xfId="1" applyFont="1" applyBorder="1" applyAlignment="1">
      <alignment vertical="center"/>
    </xf>
    <xf numFmtId="165" fontId="12" fillId="0" borderId="13" xfId="1" applyNumberFormat="1" applyFont="1" applyBorder="1" applyAlignment="1">
      <alignment vertical="center"/>
    </xf>
    <xf numFmtId="165" fontId="12" fillId="0" borderId="14" xfId="1" applyNumberFormat="1" applyFont="1" applyBorder="1" applyAlignment="1">
      <alignment vertical="center"/>
    </xf>
    <xf numFmtId="165" fontId="12" fillId="0" borderId="15" xfId="1" applyNumberFormat="1" applyFont="1" applyBorder="1" applyAlignment="1">
      <alignment vertical="center"/>
    </xf>
    <xf numFmtId="165" fontId="12" fillId="2" borderId="8" xfId="1" applyNumberFormat="1" applyFont="1" applyFill="1" applyBorder="1" applyAlignment="1">
      <alignment horizontal="center" vertical="center"/>
    </xf>
    <xf numFmtId="165" fontId="12" fillId="2" borderId="3" xfId="1" applyNumberFormat="1" applyFont="1" applyFill="1" applyBorder="1" applyAlignment="1">
      <alignment horizontal="center" vertical="center"/>
    </xf>
    <xf numFmtId="165" fontId="12" fillId="2" borderId="9" xfId="1" applyNumberFormat="1" applyFont="1" applyFill="1" applyBorder="1" applyAlignment="1">
      <alignment horizontal="center" vertical="center"/>
    </xf>
    <xf numFmtId="165" fontId="12" fillId="2" borderId="13" xfId="0" applyNumberFormat="1" applyFont="1" applyFill="1" applyBorder="1" applyAlignment="1">
      <alignment horizontal="center" vertical="center"/>
    </xf>
    <xf numFmtId="165" fontId="12" fillId="2" borderId="14" xfId="0" applyNumberFormat="1" applyFont="1" applyFill="1" applyBorder="1" applyAlignment="1">
      <alignment horizontal="center" vertical="center"/>
    </xf>
    <xf numFmtId="165" fontId="12" fillId="2" borderId="16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49" fontId="12" fillId="0" borderId="20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5" fontId="12" fillId="0" borderId="21" xfId="1" applyNumberFormat="1" applyFont="1" applyBorder="1" applyAlignment="1">
      <alignment vertical="center"/>
    </xf>
    <xf numFmtId="165" fontId="12" fillId="0" borderId="22" xfId="1" applyNumberFormat="1" applyFont="1" applyBorder="1" applyAlignment="1">
      <alignment vertical="center"/>
    </xf>
    <xf numFmtId="165" fontId="12" fillId="0" borderId="23" xfId="1" applyNumberFormat="1" applyFont="1" applyBorder="1" applyAlignment="1">
      <alignment vertical="center"/>
    </xf>
    <xf numFmtId="165" fontId="12" fillId="2" borderId="24" xfId="1" applyNumberFormat="1" applyFont="1" applyFill="1" applyBorder="1" applyAlignment="1">
      <alignment horizontal="center" vertical="center"/>
    </xf>
    <xf numFmtId="165" fontId="12" fillId="2" borderId="25" xfId="1" applyNumberFormat="1" applyFont="1" applyFill="1" applyBorder="1" applyAlignment="1">
      <alignment horizontal="center" vertical="center"/>
    </xf>
    <xf numFmtId="165" fontId="12" fillId="2" borderId="20" xfId="1" applyNumberFormat="1" applyFont="1" applyFill="1" applyBorder="1" applyAlignment="1">
      <alignment horizontal="center" vertical="center"/>
    </xf>
    <xf numFmtId="165" fontId="12" fillId="2" borderId="21" xfId="0" applyNumberFormat="1" applyFont="1" applyFill="1" applyBorder="1" applyAlignment="1">
      <alignment horizontal="center" vertical="center"/>
    </xf>
    <xf numFmtId="165" fontId="12" fillId="2" borderId="22" xfId="0" applyNumberFormat="1" applyFont="1" applyFill="1" applyBorder="1" applyAlignment="1">
      <alignment horizontal="center" vertical="center"/>
    </xf>
    <xf numFmtId="165" fontId="12" fillId="2" borderId="18" xfId="0" applyNumberFormat="1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8" fillId="0" borderId="0" xfId="0" applyFont="1"/>
    <xf numFmtId="49" fontId="13" fillId="0" borderId="0" xfId="0" applyNumberFormat="1" applyFont="1"/>
    <xf numFmtId="166" fontId="13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66" fontId="13" fillId="0" borderId="0" xfId="0" applyNumberFormat="1" applyFont="1"/>
    <xf numFmtId="0" fontId="16" fillId="0" borderId="0" xfId="0" applyFont="1"/>
    <xf numFmtId="1" fontId="13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0" fontId="17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/>
    </xf>
    <xf numFmtId="166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2" fillId="0" borderId="0" xfId="0" applyFont="1"/>
    <xf numFmtId="0" fontId="18" fillId="0" borderId="3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180974</xdr:colOff>
      <xdr:row>0</xdr:row>
      <xdr:rowOff>47625</xdr:rowOff>
    </xdr:from>
    <xdr:ext cx="1314027" cy="1190401"/>
    <xdr:pic>
      <xdr:nvPicPr>
        <xdr:cNvPr id="2" name="Image 1" descr="IMG-20230618-WA0000.jpg">
          <a:extLst>
            <a:ext uri="{FF2B5EF4-FFF2-40B4-BE49-F238E27FC236}">
              <a16:creationId xmlns:a16="http://schemas.microsoft.com/office/drawing/2014/main" id="{3F428B11-3EFD-4D2D-9F01-3ECDCB8B1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314027" cy="11904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0</xdr:row>
      <xdr:rowOff>47625</xdr:rowOff>
    </xdr:from>
    <xdr:ext cx="1272117" cy="1282700"/>
    <xdr:pic>
      <xdr:nvPicPr>
        <xdr:cNvPr id="3" name="Image 2" descr="IMG-20230618-WA0000.jpg">
          <a:extLst>
            <a:ext uri="{FF2B5EF4-FFF2-40B4-BE49-F238E27FC236}">
              <a16:creationId xmlns:a16="http://schemas.microsoft.com/office/drawing/2014/main" id="{6A045ADB-2A61-4283-AC3D-B75AA3B58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4" y="47625"/>
          <a:ext cx="1272117" cy="1282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5FEC-FE27-4F16-B864-E41DFD47B1CC}">
  <dimension ref="B1:AU55"/>
  <sheetViews>
    <sheetView tabSelected="1" showWhiteSpace="0" view="pageLayout" topLeftCell="A30" zoomScale="120" zoomScaleNormal="70" zoomScaleSheetLayoutView="70" zoomScalePageLayoutView="120" workbookViewId="0">
      <selection activeCell="C34" sqref="C34:T34"/>
    </sheetView>
  </sheetViews>
  <sheetFormatPr defaultColWidth="10.7265625" defaultRowHeight="14.5" x14ac:dyDescent="0.35"/>
  <cols>
    <col min="1" max="1" width="5.26953125" customWidth="1"/>
    <col min="2" max="2" width="10.7265625" customWidth="1"/>
    <col min="3" max="6" width="2.81640625" customWidth="1"/>
    <col min="7" max="7" width="2.26953125" customWidth="1"/>
    <col min="8" max="9" width="2.81640625" customWidth="1"/>
    <col min="10" max="10" width="2.26953125" customWidth="1"/>
    <col min="11" max="11" width="0.1796875" hidden="1" customWidth="1"/>
    <col min="12" max="12" width="4.453125" customWidth="1"/>
    <col min="13" max="13" width="6.81640625" customWidth="1"/>
    <col min="14" max="14" width="7.1796875" customWidth="1"/>
    <col min="15" max="16" width="2.81640625" customWidth="1"/>
    <col min="17" max="17" width="5.7265625" customWidth="1"/>
    <col min="18" max="18" width="6.26953125" customWidth="1"/>
    <col min="19" max="19" width="4.453125" customWidth="1"/>
    <col min="20" max="20" width="17.1796875" customWidth="1"/>
    <col min="21" max="21" width="4.54296875" customWidth="1"/>
    <col min="22" max="22" width="6" customWidth="1"/>
    <col min="23" max="23" width="2.81640625" customWidth="1"/>
    <col min="24" max="24" width="8.26953125" customWidth="1"/>
    <col min="25" max="25" width="3" customWidth="1"/>
    <col min="26" max="26" width="4.81640625" customWidth="1"/>
    <col min="27" max="27" width="2.26953125" customWidth="1"/>
    <col min="28" max="28" width="3.54296875" customWidth="1"/>
    <col min="29" max="29" width="6.7265625" customWidth="1"/>
    <col min="30" max="30" width="3.1796875" customWidth="1"/>
    <col min="31" max="31" width="2.81640625" customWidth="1"/>
    <col min="32" max="32" width="3.453125" customWidth="1"/>
    <col min="33" max="33" width="1.81640625" customWidth="1"/>
    <col min="34" max="34" width="5.7265625" customWidth="1"/>
    <col min="35" max="35" width="2.81640625" customWidth="1"/>
    <col min="36" max="36" width="6.7265625" customWidth="1"/>
    <col min="37" max="37" width="4.81640625" customWidth="1"/>
    <col min="38" max="38" width="2.26953125" customWidth="1"/>
    <col min="39" max="39" width="3.54296875" customWidth="1"/>
    <col min="40" max="40" width="14" customWidth="1"/>
    <col min="41" max="41" width="3.1796875" customWidth="1"/>
    <col min="42" max="42" width="2.81640625" customWidth="1"/>
    <col min="43" max="43" width="3.453125" customWidth="1"/>
    <col min="44" max="44" width="1.81640625" customWidth="1"/>
    <col min="45" max="45" width="5.7265625" customWidth="1"/>
    <col min="46" max="46" width="2.81640625" customWidth="1"/>
    <col min="47" max="47" width="6.81640625" customWidth="1"/>
    <col min="48" max="51" width="2.81640625" customWidth="1"/>
    <col min="52" max="52" width="6.26953125" customWidth="1"/>
    <col min="53" max="54" width="2.81640625" customWidth="1"/>
  </cols>
  <sheetData>
    <row r="1" spans="2:34" ht="22.5" customHeight="1" x14ac:dyDescent="0.5">
      <c r="I1" s="118" t="s">
        <v>78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6"/>
      <c r="AE1" s="115"/>
    </row>
    <row r="2" spans="2:34" ht="15" customHeight="1" x14ac:dyDescent="0.5">
      <c r="I2" s="114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2"/>
      <c r="AE2" s="115"/>
    </row>
    <row r="3" spans="2:34" ht="17.25" customHeight="1" x14ac:dyDescent="0.35">
      <c r="I3" s="114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2"/>
      <c r="AE3" s="108"/>
      <c r="AG3" s="4"/>
    </row>
    <row r="4" spans="2:34" ht="18.649999999999999" customHeight="1" thickBot="1" x14ac:dyDescent="0.4">
      <c r="I4" s="111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09"/>
      <c r="AE4" s="78"/>
      <c r="AF4" s="108"/>
      <c r="AG4" s="4"/>
    </row>
    <row r="5" spans="2:34" ht="18.649999999999999" customHeight="1" x14ac:dyDescent="0.35">
      <c r="I5" s="106" t="s">
        <v>77</v>
      </c>
      <c r="J5" s="106"/>
      <c r="K5" s="106"/>
      <c r="L5" s="106"/>
      <c r="M5" s="106"/>
      <c r="N5" s="106"/>
      <c r="O5" s="106"/>
      <c r="P5" s="106"/>
      <c r="Q5" s="106"/>
      <c r="R5" s="106"/>
      <c r="AG5" s="72"/>
    </row>
    <row r="6" spans="2:34" x14ac:dyDescent="0.35">
      <c r="I6" s="106" t="s">
        <v>76</v>
      </c>
      <c r="J6" s="106"/>
      <c r="K6" s="106"/>
      <c r="L6" s="106"/>
      <c r="M6" s="106"/>
      <c r="N6" s="106"/>
      <c r="O6" s="106"/>
      <c r="P6" s="106"/>
      <c r="Q6" s="106"/>
      <c r="R6" s="72"/>
      <c r="S6" s="72"/>
      <c r="T6" s="72"/>
      <c r="U6" s="72"/>
      <c r="V6" s="107"/>
      <c r="W6" s="107"/>
      <c r="X6" s="107"/>
      <c r="Y6" s="107"/>
      <c r="Z6" s="107"/>
      <c r="AA6" s="107"/>
      <c r="AB6" s="107"/>
      <c r="AC6" s="107"/>
      <c r="AD6" s="72"/>
      <c r="AE6" s="72"/>
      <c r="AF6" s="72"/>
      <c r="AG6" s="72"/>
      <c r="AH6" s="75"/>
    </row>
    <row r="7" spans="2:34" x14ac:dyDescent="0.35">
      <c r="I7" s="106" t="s">
        <v>75</v>
      </c>
      <c r="J7" s="106"/>
      <c r="K7" s="106"/>
      <c r="L7" s="106"/>
      <c r="M7" s="106"/>
      <c r="N7" s="106"/>
      <c r="O7" s="106"/>
      <c r="P7" s="106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6"/>
    </row>
    <row r="8" spans="2:34" x14ac:dyDescent="0.35">
      <c r="B8" s="105" t="s">
        <v>74</v>
      </c>
      <c r="C8" s="78" t="s">
        <v>73</v>
      </c>
      <c r="D8" s="72"/>
      <c r="E8" s="72"/>
      <c r="F8" s="4"/>
      <c r="G8" s="4"/>
      <c r="I8" s="106" t="s">
        <v>72</v>
      </c>
      <c r="J8" s="106"/>
      <c r="K8" s="106"/>
      <c r="L8" s="106"/>
      <c r="M8" s="106"/>
      <c r="N8" s="106"/>
      <c r="O8" s="106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5"/>
    </row>
    <row r="9" spans="2:34" ht="15" customHeight="1" x14ac:dyDescent="0.35">
      <c r="B9" s="105"/>
      <c r="C9" s="78" t="s">
        <v>71</v>
      </c>
      <c r="D9" s="72"/>
      <c r="E9" s="72"/>
      <c r="F9" s="4"/>
      <c r="G9" s="4"/>
      <c r="I9" s="80" t="s">
        <v>70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5"/>
      <c r="AH9" s="75"/>
    </row>
    <row r="10" spans="2:34" ht="11.25" customHeight="1" thickBot="1" x14ac:dyDescent="0.5">
      <c r="B10" s="104"/>
      <c r="C10" s="103"/>
      <c r="D10" s="75"/>
      <c r="E10" s="75"/>
      <c r="I10" s="103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75"/>
      <c r="AG10" s="75"/>
      <c r="AH10" s="75"/>
    </row>
    <row r="11" spans="2:34" ht="28.5" customHeight="1" x14ac:dyDescent="0.35">
      <c r="B11" s="101" t="s">
        <v>69</v>
      </c>
      <c r="C11" s="101"/>
      <c r="D11" s="101"/>
      <c r="E11" s="101"/>
      <c r="F11" s="101"/>
      <c r="G11" s="101"/>
      <c r="H11" s="100"/>
      <c r="I11" s="100"/>
      <c r="J11" s="100"/>
      <c r="K11" s="100"/>
      <c r="L11" s="100"/>
      <c r="M11" s="100"/>
      <c r="N11" s="100"/>
      <c r="O11" s="100"/>
      <c r="P11" s="99"/>
      <c r="Q11" s="99"/>
      <c r="R11" s="99"/>
      <c r="S11" s="98" t="s">
        <v>68</v>
      </c>
      <c r="T11" s="98"/>
      <c r="U11" s="98"/>
      <c r="V11" s="98"/>
      <c r="W11" s="98"/>
      <c r="X11" s="98"/>
      <c r="Y11" s="97" t="s">
        <v>67</v>
      </c>
      <c r="Z11" s="97"/>
      <c r="AA11" s="97"/>
      <c r="AB11" s="97"/>
      <c r="AC11" s="96" t="s">
        <v>57</v>
      </c>
      <c r="AD11" s="96"/>
      <c r="AE11" s="96"/>
      <c r="AF11" s="96"/>
      <c r="AG11" s="96"/>
      <c r="AH11" s="96"/>
    </row>
    <row r="12" spans="2:34" ht="24.75" customHeight="1" x14ac:dyDescent="0.35">
      <c r="B12" s="95" t="s">
        <v>66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4"/>
      <c r="Q12" s="94"/>
      <c r="R12" s="82"/>
      <c r="S12" s="93" t="s">
        <v>65</v>
      </c>
      <c r="T12" s="93"/>
      <c r="U12" s="93"/>
      <c r="V12" s="92">
        <v>46295</v>
      </c>
      <c r="W12" s="92"/>
      <c r="X12" s="92"/>
      <c r="Y12" s="92"/>
      <c r="Z12" s="92"/>
      <c r="AA12" s="92"/>
      <c r="AB12" s="92"/>
      <c r="AC12" s="92"/>
      <c r="AD12" s="92"/>
      <c r="AE12" s="91"/>
      <c r="AF12" s="72"/>
      <c r="AG12" s="88"/>
      <c r="AH12" s="87"/>
    </row>
    <row r="13" spans="2:34" ht="15.5" x14ac:dyDescent="0.35">
      <c r="B13" s="86" t="s">
        <v>64</v>
      </c>
      <c r="C13" s="86"/>
      <c r="D13" s="86"/>
      <c r="E13" s="85" t="s">
        <v>63</v>
      </c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76"/>
      <c r="Q13" s="76"/>
      <c r="R13" s="82"/>
      <c r="S13" s="90"/>
      <c r="T13" s="90"/>
      <c r="U13" s="90"/>
      <c r="V13" s="89"/>
      <c r="W13" s="89"/>
      <c r="X13" s="89"/>
      <c r="Y13" s="89"/>
      <c r="Z13" s="89"/>
      <c r="AA13" s="89"/>
      <c r="AB13" s="89"/>
      <c r="AC13" s="89"/>
      <c r="AD13" s="73"/>
      <c r="AE13" s="72"/>
      <c r="AF13" s="72"/>
      <c r="AG13" s="88"/>
      <c r="AH13" s="87"/>
    </row>
    <row r="14" spans="2:34" ht="9.75" customHeight="1" x14ac:dyDescent="0.35">
      <c r="B14" s="86"/>
      <c r="C14" s="86"/>
      <c r="D14" s="86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76"/>
      <c r="Q14" s="76"/>
      <c r="R14" s="8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2:34" x14ac:dyDescent="0.35">
      <c r="B15" s="80" t="s">
        <v>62</v>
      </c>
      <c r="C15" s="80"/>
      <c r="D15" s="80"/>
      <c r="E15" s="80" t="s">
        <v>61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76"/>
      <c r="Q15" s="76"/>
      <c r="R15" s="82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1"/>
      <c r="AD15" s="81"/>
      <c r="AE15" s="81"/>
      <c r="AF15" s="81"/>
      <c r="AG15" s="81"/>
      <c r="AH15" s="81"/>
    </row>
    <row r="16" spans="2:34" x14ac:dyDescent="0.35">
      <c r="B16" s="80" t="s">
        <v>60</v>
      </c>
      <c r="C16" s="80"/>
      <c r="D16" s="78"/>
      <c r="E16" s="84" t="s">
        <v>59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76"/>
      <c r="Q16" s="76"/>
      <c r="R16" s="82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74"/>
      <c r="AD16" s="74"/>
      <c r="AE16" s="74"/>
      <c r="AF16" s="74"/>
      <c r="AG16" s="74"/>
      <c r="AH16" s="74"/>
    </row>
    <row r="17" spans="2:40" x14ac:dyDescent="0.35">
      <c r="B17" s="80" t="s">
        <v>58</v>
      </c>
      <c r="C17" s="80"/>
      <c r="D17" s="78"/>
      <c r="E17" s="83" t="s">
        <v>57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76"/>
      <c r="Q17" s="76"/>
      <c r="R17" s="82"/>
      <c r="Y17" s="79"/>
      <c r="Z17" s="79"/>
      <c r="AA17" s="79"/>
      <c r="AB17" s="79"/>
      <c r="AC17" s="81"/>
      <c r="AD17" s="81"/>
      <c r="AE17" s="81"/>
      <c r="AF17" s="81"/>
      <c r="AG17" s="81"/>
      <c r="AH17" s="81"/>
    </row>
    <row r="18" spans="2:40" x14ac:dyDescent="0.35">
      <c r="B18" s="80" t="s">
        <v>56</v>
      </c>
      <c r="C18" s="80"/>
      <c r="D18" s="78"/>
      <c r="E18" s="80">
        <v>16332112051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76"/>
      <c r="Q18" s="76"/>
      <c r="R18" s="75"/>
      <c r="S18" s="72"/>
      <c r="T18" s="72"/>
      <c r="U18" s="72"/>
      <c r="V18" s="72"/>
      <c r="W18" s="72"/>
      <c r="X18" s="72"/>
      <c r="Y18" s="79"/>
      <c r="Z18" s="79"/>
      <c r="AA18" s="79"/>
      <c r="AB18" s="79"/>
      <c r="AC18" s="73"/>
      <c r="AD18" s="73"/>
      <c r="AE18" s="73"/>
      <c r="AF18" s="73"/>
      <c r="AG18" s="73"/>
      <c r="AH18" s="72"/>
    </row>
    <row r="19" spans="2:40" x14ac:dyDescent="0.35">
      <c r="B19" s="77"/>
      <c r="C19" s="77"/>
      <c r="D19" s="78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6"/>
      <c r="Q19" s="76"/>
      <c r="R19" s="75"/>
      <c r="S19" s="72"/>
      <c r="T19" s="72"/>
      <c r="U19" s="72"/>
      <c r="V19" s="72"/>
      <c r="W19" s="72"/>
      <c r="X19" s="72"/>
      <c r="Y19" s="74"/>
      <c r="Z19" s="74"/>
      <c r="AA19" s="74"/>
      <c r="AB19" s="74"/>
      <c r="AC19" s="73"/>
      <c r="AD19" s="73"/>
      <c r="AE19" s="73"/>
      <c r="AF19" s="73"/>
      <c r="AG19" s="73"/>
      <c r="AH19" s="72"/>
    </row>
    <row r="20" spans="2:40" x14ac:dyDescent="0.35">
      <c r="B20" s="77" t="s">
        <v>55</v>
      </c>
      <c r="C20" s="78"/>
      <c r="D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6"/>
      <c r="Q20" s="76"/>
      <c r="R20" s="75"/>
      <c r="S20" s="72"/>
      <c r="T20" s="72"/>
      <c r="U20" s="72"/>
      <c r="V20" s="72"/>
      <c r="W20" s="72"/>
      <c r="X20" s="72"/>
      <c r="Y20" s="74"/>
      <c r="Z20" s="74"/>
      <c r="AA20" s="74"/>
      <c r="AB20" s="74"/>
      <c r="AC20" s="73"/>
      <c r="AD20" s="73"/>
      <c r="AE20" s="73"/>
      <c r="AF20" s="73"/>
      <c r="AG20" s="73"/>
      <c r="AH20" s="72"/>
    </row>
    <row r="21" spans="2:40" ht="15" thickBot="1" x14ac:dyDescent="0.4">
      <c r="B21" s="77"/>
      <c r="C21" s="78"/>
      <c r="D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6"/>
      <c r="Q21" s="76"/>
      <c r="R21" s="75"/>
      <c r="S21" s="72"/>
      <c r="T21" s="72"/>
      <c r="U21" s="72"/>
      <c r="V21" s="72"/>
      <c r="W21" s="72"/>
      <c r="X21" s="72"/>
      <c r="Y21" s="74"/>
      <c r="Z21" s="74"/>
      <c r="AA21" s="74"/>
      <c r="AB21" s="74"/>
      <c r="AC21" s="73"/>
      <c r="AD21" s="73"/>
      <c r="AE21" s="73"/>
      <c r="AF21" s="73"/>
      <c r="AG21" s="73"/>
      <c r="AH21" s="72"/>
    </row>
    <row r="22" spans="2:40" s="37" customFormat="1" ht="18.75" customHeight="1" thickBot="1" x14ac:dyDescent="0.4">
      <c r="B22" s="71" t="s">
        <v>54</v>
      </c>
      <c r="C22" s="69" t="s">
        <v>53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70"/>
      <c r="U22" s="69" t="s">
        <v>52</v>
      </c>
      <c r="V22" s="70"/>
      <c r="W22" s="69" t="s">
        <v>51</v>
      </c>
      <c r="X22" s="67"/>
      <c r="Y22" s="66"/>
      <c r="Z22" s="68" t="s">
        <v>50</v>
      </c>
      <c r="AA22" s="67"/>
      <c r="AB22" s="67"/>
      <c r="AC22" s="66"/>
      <c r="AD22" s="68" t="s">
        <v>49</v>
      </c>
      <c r="AE22" s="67"/>
      <c r="AF22" s="67"/>
      <c r="AG22" s="67"/>
      <c r="AH22" s="66"/>
    </row>
    <row r="23" spans="2:40" s="37" customFormat="1" ht="30.75" customHeight="1" thickBot="1" x14ac:dyDescent="0.4">
      <c r="B23" s="54" t="s">
        <v>48</v>
      </c>
      <c r="C23" s="53" t="s">
        <v>47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1"/>
      <c r="U23" s="50" t="s">
        <v>46</v>
      </c>
      <c r="V23" s="49"/>
      <c r="W23" s="65" t="s">
        <v>45</v>
      </c>
      <c r="X23" s="64"/>
      <c r="Y23" s="63"/>
      <c r="Z23" s="62">
        <v>15000</v>
      </c>
      <c r="AA23" s="61"/>
      <c r="AB23" s="61"/>
      <c r="AC23" s="60"/>
      <c r="AD23" s="59">
        <v>15000</v>
      </c>
      <c r="AE23" s="58"/>
      <c r="AF23" s="58"/>
      <c r="AG23" s="58"/>
      <c r="AH23" s="57"/>
      <c r="AI23" s="39"/>
      <c r="AN23" s="38"/>
    </row>
    <row r="24" spans="2:40" s="37" customFormat="1" ht="42.75" customHeight="1" thickBot="1" x14ac:dyDescent="0.4">
      <c r="B24" s="54" t="s">
        <v>44</v>
      </c>
      <c r="C24" s="53" t="s">
        <v>43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1"/>
      <c r="U24" s="50" t="s">
        <v>11</v>
      </c>
      <c r="V24" s="49"/>
      <c r="W24" s="48">
        <v>52.51</v>
      </c>
      <c r="X24" s="47"/>
      <c r="Y24" s="46"/>
      <c r="Z24" s="45">
        <v>1400</v>
      </c>
      <c r="AA24" s="44"/>
      <c r="AB24" s="44"/>
      <c r="AC24" s="43"/>
      <c r="AD24" s="42">
        <f>W24*Z24</f>
        <v>73514</v>
      </c>
      <c r="AE24" s="41"/>
      <c r="AF24" s="41"/>
      <c r="AG24" s="41"/>
      <c r="AH24" s="40"/>
      <c r="AI24" s="39"/>
      <c r="AN24" s="38"/>
    </row>
    <row r="25" spans="2:40" s="37" customFormat="1" ht="44.25" customHeight="1" thickBot="1" x14ac:dyDescent="0.4">
      <c r="B25" s="54" t="s">
        <v>42</v>
      </c>
      <c r="C25" s="53" t="s">
        <v>41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1"/>
      <c r="U25" s="56" t="s">
        <v>8</v>
      </c>
      <c r="V25" s="55"/>
      <c r="W25" s="48">
        <v>13</v>
      </c>
      <c r="X25" s="47"/>
      <c r="Y25" s="46"/>
      <c r="Z25" s="45">
        <v>2800</v>
      </c>
      <c r="AA25" s="44"/>
      <c r="AB25" s="44"/>
      <c r="AC25" s="43"/>
      <c r="AD25" s="42">
        <f>W25*Z25</f>
        <v>36400</v>
      </c>
      <c r="AE25" s="41"/>
      <c r="AF25" s="41"/>
      <c r="AG25" s="41"/>
      <c r="AH25" s="40"/>
      <c r="AI25" s="39"/>
      <c r="AN25" s="38"/>
    </row>
    <row r="26" spans="2:40" s="37" customFormat="1" ht="33.75" customHeight="1" thickBot="1" x14ac:dyDescent="0.4">
      <c r="B26" s="54" t="s">
        <v>40</v>
      </c>
      <c r="C26" s="53" t="s">
        <v>39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1"/>
      <c r="U26" s="56" t="s">
        <v>8</v>
      </c>
      <c r="V26" s="55"/>
      <c r="W26" s="48">
        <v>3.6</v>
      </c>
      <c r="X26" s="47"/>
      <c r="Y26" s="46"/>
      <c r="Z26" s="45">
        <v>2000</v>
      </c>
      <c r="AA26" s="44"/>
      <c r="AB26" s="44"/>
      <c r="AC26" s="43"/>
      <c r="AD26" s="42">
        <f>W26*Z26</f>
        <v>7200</v>
      </c>
      <c r="AE26" s="41"/>
      <c r="AF26" s="41"/>
      <c r="AG26" s="41"/>
      <c r="AH26" s="40"/>
      <c r="AI26" s="39"/>
      <c r="AN26" s="38"/>
    </row>
    <row r="27" spans="2:40" s="37" customFormat="1" ht="34.5" customHeight="1" thickBot="1" x14ac:dyDescent="0.4">
      <c r="B27" s="54" t="s">
        <v>38</v>
      </c>
      <c r="C27" s="53" t="s">
        <v>37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1"/>
      <c r="U27" s="50" t="s">
        <v>8</v>
      </c>
      <c r="V27" s="49"/>
      <c r="W27" s="48">
        <v>9</v>
      </c>
      <c r="X27" s="47"/>
      <c r="Y27" s="46"/>
      <c r="Z27" s="45">
        <v>1800</v>
      </c>
      <c r="AA27" s="44"/>
      <c r="AB27" s="44"/>
      <c r="AC27" s="43"/>
      <c r="AD27" s="42">
        <f>W27*Z27</f>
        <v>16200</v>
      </c>
      <c r="AE27" s="41"/>
      <c r="AF27" s="41"/>
      <c r="AG27" s="41"/>
      <c r="AH27" s="40"/>
      <c r="AI27" s="39"/>
      <c r="AN27" s="38"/>
    </row>
    <row r="28" spans="2:40" s="37" customFormat="1" ht="34.5" customHeight="1" thickBot="1" x14ac:dyDescent="0.4">
      <c r="B28" s="54" t="s">
        <v>36</v>
      </c>
      <c r="C28" s="53" t="s">
        <v>35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1"/>
      <c r="U28" s="50" t="s">
        <v>11</v>
      </c>
      <c r="V28" s="49"/>
      <c r="W28" s="48">
        <v>105</v>
      </c>
      <c r="X28" s="47"/>
      <c r="Y28" s="46"/>
      <c r="Z28" s="45">
        <v>1400</v>
      </c>
      <c r="AA28" s="44"/>
      <c r="AB28" s="44"/>
      <c r="AC28" s="43"/>
      <c r="AD28" s="42">
        <f>W28*Z28</f>
        <v>147000</v>
      </c>
      <c r="AE28" s="41"/>
      <c r="AF28" s="41"/>
      <c r="AG28" s="41"/>
      <c r="AH28" s="40"/>
      <c r="AI28" s="39"/>
      <c r="AN28" s="38"/>
    </row>
    <row r="29" spans="2:40" s="37" customFormat="1" ht="34.5" customHeight="1" thickBot="1" x14ac:dyDescent="0.4">
      <c r="B29" s="54" t="s">
        <v>34</v>
      </c>
      <c r="C29" s="53" t="s">
        <v>33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1"/>
      <c r="U29" s="50" t="s">
        <v>8</v>
      </c>
      <c r="V29" s="49"/>
      <c r="W29" s="48">
        <v>31.7</v>
      </c>
      <c r="X29" s="47"/>
      <c r="Y29" s="46"/>
      <c r="Z29" s="45">
        <v>1200</v>
      </c>
      <c r="AA29" s="44"/>
      <c r="AB29" s="44"/>
      <c r="AC29" s="43"/>
      <c r="AD29" s="42">
        <f>W29*Z29</f>
        <v>38040</v>
      </c>
      <c r="AE29" s="41"/>
      <c r="AF29" s="41"/>
      <c r="AG29" s="41"/>
      <c r="AH29" s="40"/>
      <c r="AI29" s="39"/>
      <c r="AN29" s="38"/>
    </row>
    <row r="30" spans="2:40" s="37" customFormat="1" ht="34.5" customHeight="1" thickBot="1" x14ac:dyDescent="0.4">
      <c r="B30" s="54" t="s">
        <v>32</v>
      </c>
      <c r="C30" s="53" t="s">
        <v>31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1"/>
      <c r="U30" s="50" t="s">
        <v>8</v>
      </c>
      <c r="V30" s="49"/>
      <c r="W30" s="48">
        <v>7.6</v>
      </c>
      <c r="X30" s="47"/>
      <c r="Y30" s="46"/>
      <c r="Z30" s="45">
        <v>1200</v>
      </c>
      <c r="AA30" s="44"/>
      <c r="AB30" s="44"/>
      <c r="AC30" s="43"/>
      <c r="AD30" s="42">
        <f>W30*Z30</f>
        <v>9120</v>
      </c>
      <c r="AE30" s="41"/>
      <c r="AF30" s="41"/>
      <c r="AG30" s="41"/>
      <c r="AH30" s="40"/>
      <c r="AI30" s="39"/>
      <c r="AN30" s="38"/>
    </row>
    <row r="31" spans="2:40" s="37" customFormat="1" ht="34.5" customHeight="1" thickBot="1" x14ac:dyDescent="0.4">
      <c r="B31" s="54" t="s">
        <v>30</v>
      </c>
      <c r="C31" s="53" t="s">
        <v>29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1"/>
      <c r="U31" s="50" t="s">
        <v>14</v>
      </c>
      <c r="V31" s="49"/>
      <c r="W31" s="48">
        <v>4</v>
      </c>
      <c r="X31" s="47"/>
      <c r="Y31" s="46"/>
      <c r="Z31" s="45">
        <v>15000</v>
      </c>
      <c r="AA31" s="44"/>
      <c r="AB31" s="44"/>
      <c r="AC31" s="43"/>
      <c r="AD31" s="42">
        <f>W31*Z31</f>
        <v>60000</v>
      </c>
      <c r="AE31" s="41"/>
      <c r="AF31" s="41"/>
      <c r="AG31" s="41"/>
      <c r="AH31" s="40"/>
      <c r="AI31" s="39"/>
      <c r="AN31" s="38"/>
    </row>
    <row r="32" spans="2:40" s="37" customFormat="1" ht="34.5" customHeight="1" thickBot="1" x14ac:dyDescent="0.4">
      <c r="B32" s="54" t="s">
        <v>28</v>
      </c>
      <c r="C32" s="53" t="s">
        <v>27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1"/>
      <c r="U32" s="50" t="s">
        <v>11</v>
      </c>
      <c r="V32" s="49"/>
      <c r="W32" s="48">
        <v>41.42</v>
      </c>
      <c r="X32" s="47"/>
      <c r="Y32" s="46"/>
      <c r="Z32" s="45">
        <v>2800</v>
      </c>
      <c r="AA32" s="44"/>
      <c r="AB32" s="44"/>
      <c r="AC32" s="43"/>
      <c r="AD32" s="42">
        <f>W32*Z32</f>
        <v>115976</v>
      </c>
      <c r="AE32" s="41"/>
      <c r="AF32" s="41"/>
      <c r="AG32" s="41"/>
      <c r="AH32" s="40"/>
      <c r="AI32" s="39"/>
      <c r="AN32" s="38"/>
    </row>
    <row r="33" spans="2:47" s="37" customFormat="1" ht="34.5" customHeight="1" thickBot="1" x14ac:dyDescent="0.4">
      <c r="B33" s="54" t="s">
        <v>26</v>
      </c>
      <c r="C33" s="53" t="s">
        <v>25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1"/>
      <c r="U33" s="50" t="s">
        <v>11</v>
      </c>
      <c r="V33" s="49"/>
      <c r="W33" s="48">
        <v>38.22</v>
      </c>
      <c r="X33" s="47"/>
      <c r="Y33" s="46"/>
      <c r="Z33" s="45">
        <v>2800</v>
      </c>
      <c r="AA33" s="44"/>
      <c r="AB33" s="44"/>
      <c r="AC33" s="43"/>
      <c r="AD33" s="42">
        <f>W33*Z33</f>
        <v>107016</v>
      </c>
      <c r="AE33" s="41"/>
      <c r="AF33" s="41"/>
      <c r="AG33" s="41"/>
      <c r="AH33" s="40"/>
      <c r="AI33" s="39"/>
      <c r="AN33" s="38"/>
    </row>
    <row r="34" spans="2:47" s="37" customFormat="1" ht="34.5" customHeight="1" thickBot="1" x14ac:dyDescent="0.4">
      <c r="B34" s="54" t="s">
        <v>24</v>
      </c>
      <c r="C34" s="53" t="s">
        <v>23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1"/>
      <c r="U34" s="50" t="s">
        <v>8</v>
      </c>
      <c r="V34" s="49"/>
      <c r="W34" s="48">
        <v>47.4</v>
      </c>
      <c r="X34" s="47"/>
      <c r="Y34" s="46"/>
      <c r="Z34" s="45">
        <v>2400</v>
      </c>
      <c r="AA34" s="44"/>
      <c r="AB34" s="44"/>
      <c r="AC34" s="43"/>
      <c r="AD34" s="42">
        <f>W34*Z34</f>
        <v>113760</v>
      </c>
      <c r="AE34" s="41"/>
      <c r="AF34" s="41"/>
      <c r="AG34" s="41"/>
      <c r="AH34" s="40"/>
      <c r="AI34" s="39"/>
      <c r="AN34" s="38"/>
    </row>
    <row r="35" spans="2:47" s="37" customFormat="1" ht="34.5" customHeight="1" thickBot="1" x14ac:dyDescent="0.4">
      <c r="B35" s="54" t="s">
        <v>22</v>
      </c>
      <c r="C35" s="53" t="s">
        <v>21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1"/>
      <c r="U35" s="50" t="s">
        <v>14</v>
      </c>
      <c r="V35" s="49"/>
      <c r="W35" s="48">
        <v>2</v>
      </c>
      <c r="X35" s="47"/>
      <c r="Y35" s="46"/>
      <c r="Z35" s="45">
        <v>65000</v>
      </c>
      <c r="AA35" s="44"/>
      <c r="AB35" s="44"/>
      <c r="AC35" s="43"/>
      <c r="AD35" s="42">
        <f>W35*Z35</f>
        <v>130000</v>
      </c>
      <c r="AE35" s="41"/>
      <c r="AF35" s="41"/>
      <c r="AG35" s="41"/>
      <c r="AH35" s="40"/>
      <c r="AI35" s="39"/>
      <c r="AN35" s="38"/>
    </row>
    <row r="36" spans="2:47" s="37" customFormat="1" ht="34.5" customHeight="1" thickBot="1" x14ac:dyDescent="0.4">
      <c r="B36" s="54" t="s">
        <v>20</v>
      </c>
      <c r="C36" s="53" t="s">
        <v>19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1"/>
      <c r="U36" s="50" t="s">
        <v>14</v>
      </c>
      <c r="V36" s="49"/>
      <c r="W36" s="48">
        <v>1</v>
      </c>
      <c r="X36" s="47"/>
      <c r="Y36" s="46"/>
      <c r="Z36" s="45">
        <v>62000</v>
      </c>
      <c r="AA36" s="44"/>
      <c r="AB36" s="44"/>
      <c r="AC36" s="43"/>
      <c r="AD36" s="42">
        <f>W36*Z36</f>
        <v>62000</v>
      </c>
      <c r="AE36" s="41"/>
      <c r="AF36" s="41"/>
      <c r="AG36" s="41"/>
      <c r="AH36" s="40"/>
      <c r="AI36" s="39"/>
      <c r="AN36" s="38"/>
    </row>
    <row r="37" spans="2:47" s="37" customFormat="1" ht="34.5" customHeight="1" thickBot="1" x14ac:dyDescent="0.4">
      <c r="B37" s="54" t="s">
        <v>18</v>
      </c>
      <c r="C37" s="53" t="s">
        <v>17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1"/>
      <c r="U37" s="50" t="s">
        <v>14</v>
      </c>
      <c r="V37" s="49"/>
      <c r="W37" s="48">
        <v>1</v>
      </c>
      <c r="X37" s="47"/>
      <c r="Y37" s="46"/>
      <c r="Z37" s="45">
        <v>88000</v>
      </c>
      <c r="AA37" s="44"/>
      <c r="AB37" s="44"/>
      <c r="AC37" s="43"/>
      <c r="AD37" s="42">
        <f>W37*Z37</f>
        <v>88000</v>
      </c>
      <c r="AE37" s="41"/>
      <c r="AF37" s="41"/>
      <c r="AG37" s="41"/>
      <c r="AH37" s="40"/>
      <c r="AI37" s="39"/>
      <c r="AN37" s="38"/>
    </row>
    <row r="38" spans="2:47" s="37" customFormat="1" ht="34.5" customHeight="1" thickBot="1" x14ac:dyDescent="0.4">
      <c r="B38" s="54" t="s">
        <v>16</v>
      </c>
      <c r="C38" s="53" t="s">
        <v>15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1"/>
      <c r="U38" s="50" t="s">
        <v>14</v>
      </c>
      <c r="V38" s="49"/>
      <c r="W38" s="48">
        <v>1</v>
      </c>
      <c r="X38" s="47"/>
      <c r="Y38" s="46"/>
      <c r="Z38" s="45">
        <v>45000</v>
      </c>
      <c r="AA38" s="44"/>
      <c r="AB38" s="44"/>
      <c r="AC38" s="43"/>
      <c r="AD38" s="42">
        <f>W38*Z38</f>
        <v>45000</v>
      </c>
      <c r="AE38" s="41"/>
      <c r="AF38" s="41"/>
      <c r="AG38" s="41"/>
      <c r="AH38" s="40"/>
      <c r="AI38" s="39"/>
      <c r="AN38" s="38"/>
    </row>
    <row r="39" spans="2:47" s="37" customFormat="1" ht="34.5" customHeight="1" thickBot="1" x14ac:dyDescent="0.4">
      <c r="B39" s="54" t="s">
        <v>13</v>
      </c>
      <c r="C39" s="53" t="s">
        <v>12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1"/>
      <c r="U39" s="50" t="s">
        <v>11</v>
      </c>
      <c r="V39" s="49"/>
      <c r="W39" s="48">
        <v>190.68</v>
      </c>
      <c r="X39" s="47"/>
      <c r="Y39" s="46"/>
      <c r="Z39" s="45">
        <v>1400</v>
      </c>
      <c r="AA39" s="44"/>
      <c r="AB39" s="44"/>
      <c r="AC39" s="43"/>
      <c r="AD39" s="42">
        <f>W39*Z39</f>
        <v>266952</v>
      </c>
      <c r="AE39" s="41"/>
      <c r="AF39" s="41"/>
      <c r="AG39" s="41"/>
      <c r="AH39" s="40"/>
      <c r="AI39" s="39"/>
      <c r="AN39" s="38"/>
    </row>
    <row r="40" spans="2:47" s="37" customFormat="1" ht="34.5" customHeight="1" x14ac:dyDescent="0.35">
      <c r="B40" s="54" t="s">
        <v>10</v>
      </c>
      <c r="C40" s="53" t="s">
        <v>9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1"/>
      <c r="U40" s="50" t="s">
        <v>8</v>
      </c>
      <c r="V40" s="49"/>
      <c r="W40" s="48">
        <v>25.1</v>
      </c>
      <c r="X40" s="47"/>
      <c r="Y40" s="46"/>
      <c r="Z40" s="45">
        <v>1400</v>
      </c>
      <c r="AA40" s="44"/>
      <c r="AB40" s="44"/>
      <c r="AC40" s="43"/>
      <c r="AD40" s="42">
        <f>W40*Z40</f>
        <v>35140</v>
      </c>
      <c r="AE40" s="41"/>
      <c r="AF40" s="41"/>
      <c r="AG40" s="41"/>
      <c r="AH40" s="40"/>
      <c r="AI40" s="39"/>
      <c r="AN40" s="38"/>
    </row>
    <row r="41" spans="2:47" s="3" customFormat="1" ht="22.5" customHeight="1" x14ac:dyDescent="0.35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5"/>
      <c r="Z41" s="34" t="s">
        <v>7</v>
      </c>
      <c r="AA41" s="33"/>
      <c r="AB41" s="33"/>
      <c r="AC41" s="32"/>
      <c r="AD41" s="31">
        <f>SUM(AD23:AH40)</f>
        <v>1366318</v>
      </c>
      <c r="AE41" s="30"/>
      <c r="AF41" s="30"/>
      <c r="AG41" s="30"/>
      <c r="AH41" s="29"/>
    </row>
    <row r="42" spans="2:47" s="3" customFormat="1" ht="40.5" customHeight="1" x14ac:dyDescent="0.35">
      <c r="B42" s="28" t="s">
        <v>6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11"/>
      <c r="Y42" s="11"/>
      <c r="Z42" s="26" t="s">
        <v>5</v>
      </c>
      <c r="AA42" s="25"/>
      <c r="AB42" s="25"/>
      <c r="AC42" s="24"/>
      <c r="AD42" s="23">
        <f>+AD41*0.19</f>
        <v>259600.42</v>
      </c>
      <c r="AE42" s="22"/>
      <c r="AF42" s="22"/>
      <c r="AG42" s="22"/>
      <c r="AH42" s="21"/>
    </row>
    <row r="43" spans="2:47" s="3" customFormat="1" ht="35.25" customHeight="1" thickBot="1" x14ac:dyDescent="0.4">
      <c r="B43" s="20" t="s">
        <v>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1"/>
      <c r="Y43" s="11"/>
      <c r="Z43" s="19" t="s">
        <v>3</v>
      </c>
      <c r="AA43" s="18"/>
      <c r="AB43" s="18"/>
      <c r="AC43" s="17"/>
      <c r="AD43" s="16">
        <f>+AD41+AD42</f>
        <v>1625918.42</v>
      </c>
      <c r="AE43" s="15"/>
      <c r="AF43" s="15"/>
      <c r="AG43" s="15"/>
      <c r="AH43" s="14"/>
    </row>
    <row r="44" spans="2:47" s="3" customFormat="1" ht="22.5" customHeight="1" x14ac:dyDescent="0.35">
      <c r="B44" s="13" t="s">
        <v>2</v>
      </c>
      <c r="C44" s="13"/>
      <c r="D44" s="13"/>
      <c r="E44" s="13"/>
      <c r="F44" s="13"/>
      <c r="G44" s="13"/>
      <c r="H44" s="12"/>
      <c r="I44" s="12"/>
      <c r="J44" s="12"/>
      <c r="K44" s="12"/>
      <c r="L44" s="12"/>
      <c r="M44" s="12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0"/>
      <c r="AA44" s="10"/>
      <c r="AB44" s="10"/>
      <c r="AC44" s="10"/>
      <c r="AD44" s="9"/>
      <c r="AE44" s="9"/>
      <c r="AF44" s="9"/>
      <c r="AG44" s="9"/>
      <c r="AH44" s="9"/>
    </row>
    <row r="45" spans="2:47" x14ac:dyDescent="0.3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1"/>
      <c r="S45" s="1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2:47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  <c r="AA46" s="2"/>
      <c r="AB46" s="1"/>
      <c r="AC46" s="1"/>
      <c r="AD46" s="1"/>
      <c r="AE46" s="1"/>
      <c r="AF46" s="1"/>
      <c r="AG46" s="1"/>
      <c r="AH46" s="1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2:47" ht="15" thickBot="1" x14ac:dyDescent="0.4">
      <c r="B47" s="2"/>
      <c r="C47" s="2"/>
      <c r="D47" s="2"/>
      <c r="E47" s="2"/>
      <c r="F47" s="2"/>
      <c r="G47" s="2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7" t="s">
        <v>1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6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2:47" ht="15.75" customHeigh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5" t="s">
        <v>0</v>
      </c>
      <c r="U48" s="5"/>
      <c r="V48" s="5"/>
      <c r="W48" s="5"/>
      <c r="X48" s="5"/>
      <c r="Y48" s="5"/>
      <c r="Z48" s="5"/>
      <c r="AA48" s="5"/>
      <c r="AB48" s="4"/>
      <c r="AC48" s="4"/>
      <c r="AD48" s="4"/>
      <c r="AE48" s="4"/>
      <c r="AF48" s="4"/>
      <c r="AG48" s="4"/>
      <c r="AH48" s="1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2:47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1"/>
      <c r="AC49" s="1"/>
      <c r="AD49" s="1"/>
      <c r="AE49" s="1"/>
      <c r="AF49" s="1"/>
      <c r="AG49" s="1"/>
      <c r="AH49" s="1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2:47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2"/>
      <c r="U50" s="2"/>
      <c r="V50" s="2"/>
      <c r="W50" s="2"/>
      <c r="X50" s="2"/>
      <c r="Y50" s="2"/>
      <c r="Z50" s="2"/>
      <c r="AA50" s="2"/>
      <c r="AB50" s="1"/>
      <c r="AC50" s="1"/>
      <c r="AD50" s="1"/>
      <c r="AE50" s="1"/>
      <c r="AF50" s="1"/>
      <c r="AG50" s="1"/>
      <c r="AH50" s="1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2:47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2"/>
      <c r="U51" s="2"/>
      <c r="V51" s="2"/>
      <c r="W51" s="2"/>
      <c r="X51" s="2"/>
      <c r="Y51" s="2"/>
      <c r="Z51" s="2"/>
      <c r="AA51" s="2"/>
      <c r="AB51" s="1"/>
      <c r="AC51" s="1"/>
      <c r="AD51" s="1"/>
      <c r="AE51" s="1"/>
      <c r="AF51" s="1"/>
      <c r="AG51" s="1"/>
      <c r="AH51" s="1"/>
      <c r="AK51" s="2"/>
      <c r="AL51" s="2"/>
      <c r="AM51" s="1"/>
      <c r="AN51" s="1"/>
      <c r="AO51" s="1"/>
      <c r="AP51" s="1"/>
      <c r="AQ51" s="1"/>
      <c r="AR51" s="1"/>
      <c r="AS51" s="1"/>
    </row>
    <row r="52" spans="2:47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2:47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2:47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7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K55" s="1"/>
      <c r="AL55" s="1"/>
      <c r="AM55" s="1"/>
      <c r="AN55" s="1"/>
      <c r="AO55" s="1"/>
      <c r="AP55" s="1"/>
      <c r="AQ55" s="1"/>
      <c r="AR55" s="1"/>
      <c r="AS55" s="1"/>
    </row>
  </sheetData>
  <mergeCells count="137">
    <mergeCell ref="I9:S9"/>
    <mergeCell ref="B12:O12"/>
    <mergeCell ref="S12:U12"/>
    <mergeCell ref="V12:AD12"/>
    <mergeCell ref="I1:AD4"/>
    <mergeCell ref="I5:R5"/>
    <mergeCell ref="I6:Q6"/>
    <mergeCell ref="V6:AC6"/>
    <mergeCell ref="I7:P7"/>
    <mergeCell ref="B8:B9"/>
    <mergeCell ref="I8:O8"/>
    <mergeCell ref="B13:D14"/>
    <mergeCell ref="E13:O14"/>
    <mergeCell ref="B15:D15"/>
    <mergeCell ref="E15:O15"/>
    <mergeCell ref="S15:AB15"/>
    <mergeCell ref="J10:AE10"/>
    <mergeCell ref="B11:G11"/>
    <mergeCell ref="S11:X11"/>
    <mergeCell ref="Y11:AB11"/>
    <mergeCell ref="AC11:AH11"/>
    <mergeCell ref="W22:Y22"/>
    <mergeCell ref="Z22:AC22"/>
    <mergeCell ref="AD22:AH22"/>
    <mergeCell ref="B16:C16"/>
    <mergeCell ref="E16:O16"/>
    <mergeCell ref="S16:AB16"/>
    <mergeCell ref="B17:C17"/>
    <mergeCell ref="E17:O17"/>
    <mergeCell ref="Y17:AB17"/>
    <mergeCell ref="C24:T24"/>
    <mergeCell ref="U24:V24"/>
    <mergeCell ref="W24:Y24"/>
    <mergeCell ref="Z24:AC24"/>
    <mergeCell ref="AD24:AH24"/>
    <mergeCell ref="B18:C18"/>
    <mergeCell ref="E18:O18"/>
    <mergeCell ref="Y18:AB18"/>
    <mergeCell ref="C22:T22"/>
    <mergeCell ref="U22:V22"/>
    <mergeCell ref="C25:T25"/>
    <mergeCell ref="U25:V25"/>
    <mergeCell ref="W25:Y25"/>
    <mergeCell ref="Z25:AC25"/>
    <mergeCell ref="AD25:AH25"/>
    <mergeCell ref="C23:T23"/>
    <mergeCell ref="U23:V23"/>
    <mergeCell ref="W23:Y23"/>
    <mergeCell ref="Z23:AC23"/>
    <mergeCell ref="AD23:AH23"/>
    <mergeCell ref="C26:T26"/>
    <mergeCell ref="U26:V26"/>
    <mergeCell ref="W26:Y26"/>
    <mergeCell ref="Z26:AC26"/>
    <mergeCell ref="AD26:AH26"/>
    <mergeCell ref="C27:T27"/>
    <mergeCell ref="U27:V27"/>
    <mergeCell ref="W27:Y27"/>
    <mergeCell ref="Z27:AC27"/>
    <mergeCell ref="AD27:AH27"/>
    <mergeCell ref="W33:Y33"/>
    <mergeCell ref="Z33:AC33"/>
    <mergeCell ref="AD33:AH33"/>
    <mergeCell ref="B41:X41"/>
    <mergeCell ref="Z41:AC41"/>
    <mergeCell ref="AD41:AH41"/>
    <mergeCell ref="U36:V36"/>
    <mergeCell ref="W36:Y36"/>
    <mergeCell ref="B42:W42"/>
    <mergeCell ref="Z42:AC42"/>
    <mergeCell ref="AD42:AH42"/>
    <mergeCell ref="B43:W43"/>
    <mergeCell ref="Z43:AC43"/>
    <mergeCell ref="AD43:AH43"/>
    <mergeCell ref="B44:G44"/>
    <mergeCell ref="H44:N44"/>
    <mergeCell ref="B45:Q45"/>
    <mergeCell ref="C28:T28"/>
    <mergeCell ref="U28:V28"/>
    <mergeCell ref="W28:Y28"/>
    <mergeCell ref="C32:T32"/>
    <mergeCell ref="U32:V32"/>
    <mergeCell ref="W32:Y32"/>
    <mergeCell ref="C36:T36"/>
    <mergeCell ref="Z28:AC28"/>
    <mergeCell ref="AD28:AH28"/>
    <mergeCell ref="C30:T30"/>
    <mergeCell ref="U30:V30"/>
    <mergeCell ref="W30:Y30"/>
    <mergeCell ref="Z30:AC30"/>
    <mergeCell ref="AD30:AH30"/>
    <mergeCell ref="C29:T29"/>
    <mergeCell ref="U29:V29"/>
    <mergeCell ref="W29:Y29"/>
    <mergeCell ref="Z29:AC29"/>
    <mergeCell ref="AD29:AH29"/>
    <mergeCell ref="C31:T31"/>
    <mergeCell ref="U31:V31"/>
    <mergeCell ref="W31:Y31"/>
    <mergeCell ref="Z31:AC31"/>
    <mergeCell ref="AD31:AH31"/>
    <mergeCell ref="Z32:AC32"/>
    <mergeCell ref="AD32:AH32"/>
    <mergeCell ref="C35:T35"/>
    <mergeCell ref="U35:V35"/>
    <mergeCell ref="W35:Y35"/>
    <mergeCell ref="Z35:AC35"/>
    <mergeCell ref="AD35:AH35"/>
    <mergeCell ref="AD34:AH34"/>
    <mergeCell ref="C33:T33"/>
    <mergeCell ref="U33:V33"/>
    <mergeCell ref="Z36:AC36"/>
    <mergeCell ref="AD36:AH36"/>
    <mergeCell ref="C37:T37"/>
    <mergeCell ref="U37:V37"/>
    <mergeCell ref="W37:Y37"/>
    <mergeCell ref="Z37:AC37"/>
    <mergeCell ref="AD37:AH37"/>
    <mergeCell ref="U39:V39"/>
    <mergeCell ref="W39:Y39"/>
    <mergeCell ref="Z39:AC39"/>
    <mergeCell ref="AD39:AH39"/>
    <mergeCell ref="C38:T38"/>
    <mergeCell ref="U38:V38"/>
    <mergeCell ref="W38:Y38"/>
    <mergeCell ref="Z38:AC38"/>
    <mergeCell ref="AD38:AH38"/>
    <mergeCell ref="C40:T40"/>
    <mergeCell ref="U40:V40"/>
    <mergeCell ref="W40:Y40"/>
    <mergeCell ref="Z40:AC40"/>
    <mergeCell ref="AD40:AH40"/>
    <mergeCell ref="C34:T34"/>
    <mergeCell ref="U34:V34"/>
    <mergeCell ref="W34:Y34"/>
    <mergeCell ref="Z34:AC34"/>
    <mergeCell ref="C39:T39"/>
  </mergeCells>
  <pageMargins left="0.7" right="0.7" top="0.75" bottom="0.75" header="0.3" footer="0.3"/>
  <pageSetup paperSize="9" scale="52" orientation="portrait" horizontalDpi="1200" verticalDpi="1200" r:id="rId1"/>
  <colBreaks count="2" manualBreakCount="2">
    <brk id="35" max="84" man="1"/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fc 01-2026 (2)</vt:lpstr>
      <vt:lpstr>'fc 01-2026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osmani</dc:creator>
  <cp:lastModifiedBy>amine osmani</cp:lastModifiedBy>
  <dcterms:created xsi:type="dcterms:W3CDTF">2026-10-01T12:07:11Z</dcterms:created>
  <dcterms:modified xsi:type="dcterms:W3CDTF">2026-10-01T12:07:40Z</dcterms:modified>
</cp:coreProperties>
</file>