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INFO\Desktop\"/>
    </mc:Choice>
  </mc:AlternateContent>
  <xr:revisionPtr revIDLastSave="0" documentId="13_ncr:1_{91952554-5A62-4537-8890-90B95EE2850B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FC 07-26 COMMERCE DE GROS" sheetId="1" state="hidden" r:id="rId1"/>
    <sheet name="FC 08-26 ETP" sheetId="2" r:id="rId2"/>
    <sheet name="fc 01-2026" sheetId="3" r:id="rId3"/>
    <sheet name="attachement" sheetId="4" r:id="rId4"/>
  </sheets>
  <definedNames>
    <definedName name="_xlnm.Print_Area" localSheetId="3">attachement!$A$1:$AI$86</definedName>
    <definedName name="_xlnm.Print_Area" localSheetId="2">'fc 01-2026'!$A$1:$AI$86</definedName>
    <definedName name="_xlnm.Print_Area" localSheetId="0">'FC 07-26 COMMERCE DE GROS'!$A$1:$AI$85</definedName>
    <definedName name="_xlnm.Print_Area" localSheetId="1">'FC 08-26 ETP'!$A$1:$AI$88</definedName>
  </definedNames>
  <calcPr calcId="181029"/>
</workbook>
</file>

<file path=xl/calcChain.xml><?xml version="1.0" encoding="utf-8"?>
<calcChain xmlns="http://schemas.openxmlformats.org/spreadsheetml/2006/main">
  <c r="AD81" i="3" l="1"/>
  <c r="AD80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83" i="2"/>
  <c r="AD82" i="2"/>
  <c r="AD78" i="2"/>
  <c r="AD77" i="2"/>
  <c r="AD76" i="2"/>
  <c r="AD75" i="2"/>
  <c r="AD74" i="2"/>
  <c r="AD73" i="2"/>
  <c r="AD79" i="2" s="1"/>
  <c r="AD80" i="2" s="1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79" i="3" l="1"/>
  <c r="AD81" i="2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76" i="1" s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77" i="1" l="1"/>
  <c r="AD78" i="1" s="1"/>
  <c r="AD80" i="1" s="1"/>
</calcChain>
</file>

<file path=xl/sharedStrings.xml><?xml version="1.0" encoding="utf-8"?>
<sst xmlns="http://schemas.openxmlformats.org/spreadsheetml/2006/main" count="816" uniqueCount="222">
  <si>
    <r>
      <rPr>
        <sz val="22"/>
        <color theme="1"/>
        <rFont val="Arial"/>
        <charset val="134"/>
      </rPr>
      <t xml:space="preserve"> </t>
    </r>
    <r>
      <rPr>
        <b/>
        <sz val="22"/>
        <color theme="1"/>
        <rFont val="Arial"/>
        <charset val="134"/>
      </rPr>
      <t>EURL RITEDJ DECO</t>
    </r>
    <r>
      <rPr>
        <sz val="22"/>
        <color theme="1"/>
        <rFont val="Arial"/>
        <charset val="134"/>
      </rPr>
      <t xml:space="preserve">                                                                                                                                         </t>
    </r>
    <r>
      <rPr>
        <b/>
        <sz val="12"/>
        <color theme="1"/>
        <rFont val="Arial"/>
        <charset val="134"/>
      </rPr>
      <t>COMMERCE DE GROS D'ARTICLES DE REVETEMENT D'INTERIEUR</t>
    </r>
    <r>
      <rPr>
        <sz val="11"/>
        <color theme="1"/>
        <rFont val="Arial"/>
        <charset val="134"/>
      </rPr>
      <t xml:space="preserve">                                                                     </t>
    </r>
    <r>
      <rPr>
        <b/>
        <sz val="11"/>
        <color theme="1"/>
        <rFont val="Arial"/>
        <charset val="134"/>
      </rPr>
      <t>Adresse:</t>
    </r>
    <r>
      <rPr>
        <sz val="11"/>
        <color theme="1"/>
        <rFont val="Arial"/>
        <charset val="134"/>
      </rPr>
      <t xml:space="preserve"> COOP IMMO EL WAFAA 34 LOTS HACHEMI SEC 65 GRF 82 LOC 02 RDC, SETIF.</t>
    </r>
  </si>
  <si>
    <t>Tél</t>
  </si>
  <si>
    <t xml:space="preserve">0550 94 92 11   </t>
  </si>
  <si>
    <t>0560 92 60 45</t>
  </si>
  <si>
    <r>
      <rPr>
        <b/>
        <sz val="10"/>
        <color theme="1"/>
        <rFont val="Arial"/>
        <charset val="134"/>
      </rPr>
      <t>RIB :</t>
    </r>
    <r>
      <rPr>
        <sz val="10"/>
        <color theme="1"/>
        <rFont val="Arial"/>
        <charset val="134"/>
      </rPr>
      <t xml:space="preserve"> 004 00347 400565861715 CPA</t>
    </r>
  </si>
  <si>
    <t>CLIENT</t>
  </si>
  <si>
    <t>PROFORMA N°</t>
  </si>
  <si>
    <t xml:space="preserve"> </t>
  </si>
  <si>
    <t xml:space="preserve">MAPI TEK SPA </t>
  </si>
  <si>
    <t>DATE :</t>
  </si>
  <si>
    <t>Adresse :</t>
  </si>
  <si>
    <t xml:space="preserve">ZI N° 22 ROUTE DE L'ARBAA EUCALYPTUS 16057 ALGER </t>
  </si>
  <si>
    <t>RC N° :</t>
  </si>
  <si>
    <t>18B 0093503-16/00</t>
  </si>
  <si>
    <t>NIF :</t>
  </si>
  <si>
    <t>001819009350373</t>
  </si>
  <si>
    <t>NIS :</t>
  </si>
  <si>
    <t>A.I :</t>
  </si>
  <si>
    <t>N°</t>
  </si>
  <si>
    <t>Désignation</t>
  </si>
  <si>
    <t>U.M</t>
  </si>
  <si>
    <t>Qté</t>
  </si>
  <si>
    <t>Prix Unitaire</t>
  </si>
  <si>
    <t xml:space="preserve">Montant </t>
  </si>
  <si>
    <t>01</t>
  </si>
  <si>
    <t>Fourniture de faux-plafond démontable en dalles de plaques de plâtre, y compris ossature, renforcement en tubes carrés d'acier, soudures et toutes sujétions de bonne exécution.</t>
  </si>
  <si>
    <t>m²</t>
  </si>
  <si>
    <t>02</t>
  </si>
  <si>
    <t>Fourniture de revêtement mural en plaques de plâtre BA13 (standard) sur montants de 48 mm, y compris renforcement en tubes carrés d'acier, soudures et toutes sujétions de bonne exécution.</t>
  </si>
  <si>
    <t>03</t>
  </si>
  <si>
    <t>Fourniture de faux-plafond fixe en plaques de plâtre BA13 (standard), y compris ossature, renforcement en tubes carrés d'acier, soudures et toutes sujétions de bonne exécution.</t>
  </si>
  <si>
    <t>04</t>
  </si>
  <si>
    <t>Fourniture de cloison de séparation en plaques de plâtre BA13 (standard) sur montants de 48 mm, y compris renforcement en tubes carrés d'acier, soudures et toutes sujétions de bonne exécution.</t>
  </si>
  <si>
    <t>05</t>
  </si>
  <si>
    <t>Fourniture d'isolation thermique et phonique en laine de roche, y compris fixations et toutes sujétions de bonne exécution.</t>
  </si>
  <si>
    <t>06</t>
  </si>
  <si>
    <t>Fourniture d'isolation phonique en laine de roche, y compris fixations et toutes sujétions de bonne exécution.</t>
  </si>
  <si>
    <t>ml</t>
  </si>
  <si>
    <t>07</t>
  </si>
  <si>
    <t>Fourniture de tubes carrés en acier lourd (30x20 mm), y compris soudures, fixations et toutes sujétions de bonne exécution.</t>
  </si>
  <si>
    <t>08</t>
  </si>
  <si>
    <t>Fourniture de tubes carrés en acier lourd (30x50 mm), y compris soudures, fixations et toutes sujétions de bonne exécution.</t>
  </si>
  <si>
    <t>09</t>
  </si>
  <si>
    <t>Fourniture de revêtement en plaques de plâtre BA13 (luniere), y compris renforcement en tubes carrés d'acier, soudures et toutes sujétions de bonne exécution.</t>
  </si>
  <si>
    <t>10</t>
  </si>
  <si>
    <t>Fourniture de plinthes en PVC, y compris coupes, pose et toutes sujétions de bonne exécution.</t>
  </si>
  <si>
    <t>11</t>
  </si>
  <si>
    <t>Fourniture de barres de seuil, y compris fixations et toutes sujétions de bonne exécution.</t>
  </si>
  <si>
    <t>12</t>
  </si>
  <si>
    <t>Fourniture de la peinture satiné, application de deux couches et toutes sujétions de bonne exécution.</t>
  </si>
  <si>
    <t>13</t>
  </si>
  <si>
    <t>Fourniture de la peinture satinée, y compris enduit général, application de deux couches de fixateur (impression) et toutes sujétions de bonne exécution.</t>
  </si>
  <si>
    <t>14</t>
  </si>
  <si>
    <t>Fourniture de revêtement de sol autolissant (ragréage P4), y compris préparation du support et toutes sujétions de bonne exécution.</t>
  </si>
  <si>
    <t>15</t>
  </si>
  <si>
    <t>Fourniture de revêtement de sol en tapis antistatique homogène (ép : 2 mm), y compris pose et toutes sujétions de bonne exécution.</t>
  </si>
  <si>
    <t>16</t>
  </si>
  <si>
    <t>Fourniture de revêtement de sol en multiplex bois (ép : 10 mm), y compris fixations et toutes sujétions de bonne exécution.</t>
  </si>
  <si>
    <t>17</t>
  </si>
  <si>
    <t>Fourniture de revêtement de sol en dalles de sol (60x60 cm), y compris mortier colle, joints et toutes sujétions de bonne exécution.</t>
  </si>
  <si>
    <t>18</t>
  </si>
  <si>
    <t>Fourniture de plinthes en céramique, y compris coupes, pose et toutes sujétions de bonne exécution.</t>
  </si>
  <si>
    <t>19</t>
  </si>
  <si>
    <t>Fourniture de revêtement mural en faïence céramique, y compris pose, joints et toutes sujétions de bonne exécution.</t>
  </si>
  <si>
    <t>20</t>
  </si>
  <si>
    <t>Fourniture de revêtement mural en faïence céramique (luniere), y compris toutes sujétions de bonne exécution.</t>
  </si>
  <si>
    <t>21</t>
  </si>
  <si>
    <t>Fourniture de bureau droit en MDF de haute qualité, y compris assemblage et toutes sujétions de bonne exécution.</t>
  </si>
  <si>
    <t>u</t>
  </si>
  <si>
    <t>22</t>
  </si>
  <si>
    <t>Fourniture de bureau d'angle en MDF de haute qualité, y compris assemblage et toutes sujétions de bonne exécution.</t>
  </si>
  <si>
    <t>23</t>
  </si>
  <si>
    <t>Fourniture d'armoire en MDF de haute qualité, y compris quincaillerie, montage et toutes sujétions de bonne exécution.</t>
  </si>
  <si>
    <t>24</t>
  </si>
  <si>
    <t>Fourniture de fenêtre en aluminium (TPR) fix  blanc, dim : (4,00 x 1,00) m, double vitrage feuilleté avec gaz argon, y compris fixations et toutes sujétions de bonne exécution.</t>
  </si>
  <si>
    <t>25</t>
  </si>
  <si>
    <t>Fourniture de fenêtre coulissante en aluminium (TPR) gris, dim : 1,62 x 1,80 m, vitrage feuilleté, y compris fixations et toutes sujétions de bonne exécution.</t>
  </si>
  <si>
    <t>26</t>
  </si>
  <si>
    <t>Fourniture de porte en aluminium (TPR) blanc, dim : 0,80 x 2,10 m, remplissage en panneau sandwich, y compris fixations et toutes sujétions de bonne exécution.</t>
  </si>
  <si>
    <t>27</t>
  </si>
  <si>
    <t>Fourniture de porte en aluminium (TPR) gris, dim : 1,00 x 2,05 m, vitrage feuilleté, y compris fixations et toutes sujétions de bonne exécution.</t>
  </si>
  <si>
    <t>28</t>
  </si>
  <si>
    <t>Fourniture d'imposte en aluminium (TPR) blanc, dim : 0,60 x 0,30 m, simple vitrage feuilleté, y compris fixations et toutes sujétions de bonne exécution.</t>
  </si>
  <si>
    <t>29</t>
  </si>
  <si>
    <t>Fourniture de porte en aluminium (TPR) blanc, dim : 0,97 x 2,13 m, vitrage feuilleté, y compris fixations et toutes sujétions de bonne exécution.</t>
  </si>
  <si>
    <t>30</t>
  </si>
  <si>
    <t>Fourniture de fenêtre coulissante en aluminium (TPR) blanc, dim : 1,50 x 1,17 m, vitrage feuilleté, y compris fixations et toutes sujétions de bonne exécution.</t>
  </si>
  <si>
    <t>31</t>
  </si>
  <si>
    <t>Fourniture de fenêtre coulissante en aluminium (TPR) blanc, dim : 1,17 x 1,17 m, vitrage feuilleté, y compris fixations et toutes sujétions de bonne exécution.</t>
  </si>
  <si>
    <t>32</t>
  </si>
  <si>
    <t>Fourniture de fenêtre coulissante en aluminium (TPR) blanc, dim : 1,17 x 1,00 m, vitrage feuilleté, y compris fixations et toutes sujétions de bonne exécution.</t>
  </si>
  <si>
    <t>33</t>
  </si>
  <si>
    <t>Fourniture de fenêtre coulissante en aluminium (TPR) blanc, dim : 2,00 x 1,16 m, vitrage feuilleté, y compris fixations et toutes sujétions de bonne exécution.</t>
  </si>
  <si>
    <t>34</t>
  </si>
  <si>
    <t>Fourniture de fenetre en aluminium (TPR) blanc, dim : 1,20 x 0,81 m, double vitrage feuilleté avec gaz argon, y compris fixations et toutes sujétions de bonne exécution.</t>
  </si>
  <si>
    <t>35</t>
  </si>
  <si>
    <t>Fourniture de fenetre en aluminium (TPR) blanc, dim : 1,50 x 1,20 m, double vitrage feuilleté avec gaz argon, y compris fixations et toutes sujétions de bonne exécution.</t>
  </si>
  <si>
    <t>36</t>
  </si>
  <si>
    <t>Fourniture de fenêtre coulissante en aluminium (TPR) blanc, dim : 1,50 x 1,20 m, vitrage feuilleté, y compris fixations et toutes sujétions de bonne exécution.</t>
  </si>
  <si>
    <t>37</t>
  </si>
  <si>
    <t>Fourniture de fenetre en aluminium (TPR) blanc, dim : 2,00 x 1,17 m, double vitrage feuilleté avec gaz argon, y compris fixations et toutes sujétions de bonne exécution.</t>
  </si>
  <si>
    <t>38</t>
  </si>
  <si>
    <t>Fourniture de fenêtre coulissante en aluminium (TPR) blanc, dim : 3,00 x 0,80 m, vitrage feuilleté, y compris fixations et toutes sujétions de bonne exécution.</t>
  </si>
  <si>
    <t>39</t>
  </si>
  <si>
    <t>Fourniture d'imposte en aluminium (TPR) blanc, dim : 0,60 x 0,60 m, simple vitrage feuilleté, y compris fixations et toutes sujétions de bonne exécution.</t>
  </si>
  <si>
    <t>40</t>
  </si>
  <si>
    <t>Fourniture de fenêtre coulissante en aluminium (TPR) blanc, dim : 1,80 x 0,82 m, vitrage feuilleté, y compris fixations et toutes sujétions de bonne exécution.</t>
  </si>
  <si>
    <t>41</t>
  </si>
  <si>
    <t>Fourniture de fenêtre coulissante en aluminium STRUGAL anodisé, dim : (1,02 x 1,15) m, double vitrage feuilleté avec gaz argon, y compris fixations et toutes sujétions de bonne exécution.</t>
  </si>
  <si>
    <t>42</t>
  </si>
  <si>
    <t>Fourniture de fenêtre coulissante en aluminium STRUGAL anodisé, dim : (1,97 x 0,95)m, double vitrage feuilleté avec gaz argon, y compris fixations et toutes sujétions de bonne exécution.</t>
  </si>
  <si>
    <t>43</t>
  </si>
  <si>
    <t>Fourniture de fenêtre coulissante en aluminium STRUGAL anodisé, dim : (1,67 x 0,95) m, double vitrage feuilleté avec gaz argon, y compris fixations et toutes sujétions de bonne exécution.</t>
  </si>
  <si>
    <t>44</t>
  </si>
  <si>
    <t>Fourniture de fenêtre coulissante en aluminium STRUGAL anodisé, dim : (1,11 x 0,95) m, double vitrage feuilleté avec gaz argon, y compris fixations et toutes sujétions de bonne exécution.</t>
  </si>
  <si>
    <t>45</t>
  </si>
  <si>
    <t>Fourniture de fenêtre coulissante en aluminium STRUGAL anodisé, dim : (1,14 x 1,14) m, double vitrage feuilleté avec gaz argon, y compris fixations et toutes sujétions de bonne exécution.</t>
  </si>
  <si>
    <t>46</t>
  </si>
  <si>
    <t>Fourniture de fenêtre vasistas en aluminium STRUGAL anodisé, dim : (1,80 x 0,82) m, double vitrage feuilleté avec gaz argon, y compris fixations et toutes sujétions de bonne exécution.</t>
  </si>
  <si>
    <t>47</t>
  </si>
  <si>
    <t>Fourniture d’un évier en acier inoxydable (inox) 1,60 m, y compris fourniture et pose de deux robinets, raccordements hydrauliques (évacuation et alimentation) et toutes sujétions de bonne exécution.</t>
  </si>
  <si>
    <t>48</t>
  </si>
  <si>
    <t xml:space="preserve">Fourniture de jambage en plaque platre pour imposte  y compris peinture et fixation et toutes sujétions de bonne exécution. </t>
  </si>
  <si>
    <t>49</t>
  </si>
  <si>
    <t xml:space="preserve">Fourniture de jambage en MDF (blanc ) et toutes sujétions de bonne exécution. </t>
  </si>
  <si>
    <t>50</t>
  </si>
  <si>
    <t xml:space="preserve">Fourniture de trappe de visite en plaque platre  (40*40 cm ) et toutes sujétions de bonne exécution. </t>
  </si>
  <si>
    <t>51</t>
  </si>
  <si>
    <t xml:space="preserve">Fourniture de trappe de visite en plaque platre  (30*30 cm ) et toutes sujétions de bonne exécution. </t>
  </si>
  <si>
    <t>52</t>
  </si>
  <si>
    <t>Fourniture peinture escalier acier (marches et contremarches), y compris rampe et toutes sujétions de bonne exécution.</t>
  </si>
  <si>
    <t>ENS</t>
  </si>
  <si>
    <t>53</t>
  </si>
  <si>
    <t>Fourniture de tapis de prière pour mosquée (moquette spécialisée), y compris découpes, pose ajustée, fixations et toutes sujétions de bonne exécution.</t>
  </si>
  <si>
    <t>TOTAL HT</t>
  </si>
  <si>
    <t>Remise 2%</t>
  </si>
  <si>
    <r>
      <rPr>
        <b/>
        <u/>
        <sz val="10"/>
        <color theme="1"/>
        <rFont val="Arial"/>
        <charset val="134"/>
      </rPr>
      <t>Arrêtez le Présent PROFORMA à la somme de</t>
    </r>
    <r>
      <rPr>
        <b/>
        <u/>
        <sz val="11"/>
        <color theme="1"/>
        <rFont val="Arial"/>
        <charset val="134"/>
      </rPr>
      <t>:</t>
    </r>
    <r>
      <rPr>
        <sz val="11"/>
        <color theme="1"/>
        <rFont val="Arial"/>
        <charset val="134"/>
      </rPr>
      <t xml:space="preserve">  </t>
    </r>
  </si>
  <si>
    <t>TVA 19%</t>
  </si>
  <si>
    <t>TOTAL TTC</t>
  </si>
  <si>
    <t>Mode de Paiment</t>
  </si>
  <si>
    <t>L'entreprise</t>
  </si>
  <si>
    <t>Cachet et Signature</t>
  </si>
  <si>
    <t>007/2026</t>
  </si>
  <si>
    <t>Onze Millions Six Cent Dix Mille Neuf Cent Quarante Cinq Dinars et 51 cts</t>
  </si>
  <si>
    <r>
      <rPr>
        <b/>
        <sz val="10"/>
        <color theme="1"/>
        <rFont val="Arial"/>
        <charset val="134"/>
      </rPr>
      <t>RC N°:</t>
    </r>
    <r>
      <rPr>
        <sz val="10"/>
        <color theme="1"/>
        <rFont val="Arial"/>
        <charset val="134"/>
      </rPr>
      <t xml:space="preserve"> 22 B 0094677 19/01</t>
    </r>
  </si>
  <si>
    <r>
      <rPr>
        <b/>
        <sz val="10"/>
        <color theme="1"/>
        <rFont val="Arial"/>
        <charset val="134"/>
      </rPr>
      <t>NIFN°:</t>
    </r>
    <r>
      <rPr>
        <sz val="10"/>
        <color theme="1"/>
        <rFont val="Arial"/>
        <charset val="134"/>
      </rPr>
      <t xml:space="preserve"> 00221900946779619001</t>
    </r>
  </si>
  <si>
    <t>NIS N°: 002219010003274001</t>
  </si>
  <si>
    <r>
      <rPr>
        <b/>
        <sz val="10"/>
        <color theme="1"/>
        <rFont val="Arial"/>
        <charset val="134"/>
      </rPr>
      <t>AI N°:</t>
    </r>
    <r>
      <rPr>
        <sz val="10"/>
        <color theme="1"/>
        <rFont val="Arial"/>
        <charset val="134"/>
      </rPr>
      <t xml:space="preserve"> 19017889833</t>
    </r>
  </si>
  <si>
    <t>008/2026</t>
  </si>
  <si>
    <r>
      <rPr>
        <b/>
        <sz val="10"/>
        <color theme="1"/>
        <rFont val="Arial"/>
        <charset val="134"/>
      </rPr>
      <t>RC N°:</t>
    </r>
    <r>
      <rPr>
        <sz val="10"/>
        <color theme="1"/>
        <rFont val="Arial"/>
        <charset val="134"/>
      </rPr>
      <t xml:space="preserve"> 22 B 0094677 19/00</t>
    </r>
  </si>
  <si>
    <r>
      <rPr>
        <b/>
        <sz val="10"/>
        <color theme="1"/>
        <rFont val="Arial"/>
        <charset val="134"/>
      </rPr>
      <t>NIFN°:</t>
    </r>
    <r>
      <rPr>
        <sz val="10"/>
        <color theme="1"/>
        <rFont val="Arial"/>
        <charset val="134"/>
      </rPr>
      <t xml:space="preserve"> 002219009467796  </t>
    </r>
  </si>
  <si>
    <t>NIS N°: 002219010003274</t>
  </si>
  <si>
    <r>
      <rPr>
        <b/>
        <sz val="10"/>
        <color theme="1"/>
        <rFont val="Arial"/>
        <charset val="134"/>
      </rPr>
      <t>AI N°:</t>
    </r>
    <r>
      <rPr>
        <sz val="10"/>
        <color theme="1"/>
        <rFont val="Arial"/>
        <charset val="134"/>
      </rPr>
      <t xml:space="preserve"> 19017889831</t>
    </r>
  </si>
  <si>
    <r>
      <rPr>
        <b/>
        <sz val="22"/>
        <color theme="1"/>
        <rFont val="Arial"/>
        <charset val="134"/>
      </rPr>
      <t xml:space="preserve">                             EURL RITEDJ DECO</t>
    </r>
    <r>
      <rPr>
        <sz val="22"/>
        <color theme="1"/>
        <rFont val="Arial"/>
        <charset val="134"/>
      </rPr>
      <t xml:space="preserve">    </t>
    </r>
    <r>
      <rPr>
        <sz val="12"/>
        <color theme="1"/>
        <rFont val="Arial"/>
        <charset val="134"/>
      </rPr>
      <t xml:space="preserve">                                                                                                   </t>
    </r>
    <r>
      <rPr>
        <b/>
        <sz val="10"/>
        <color theme="1"/>
        <rFont val="Arial"/>
        <charset val="134"/>
      </rPr>
      <t>Entreprise de grands traveaux publics et hydroliques</t>
    </r>
    <r>
      <rPr>
        <b/>
        <sz val="12"/>
        <color theme="1"/>
        <rFont val="Arial"/>
        <charset val="134"/>
      </rPr>
      <t xml:space="preserve"> </t>
    </r>
    <r>
      <rPr>
        <sz val="12"/>
        <color theme="1"/>
        <rFont val="Arial"/>
        <charset val="134"/>
      </rPr>
      <t xml:space="preserve">                                                   </t>
    </r>
    <r>
      <rPr>
        <b/>
        <sz val="11"/>
        <color theme="1"/>
        <rFont val="Arial"/>
        <charset val="134"/>
      </rPr>
      <t xml:space="preserve">Adresse: </t>
    </r>
    <r>
      <rPr>
        <sz val="11"/>
        <color theme="1"/>
        <rFont val="Arial"/>
        <charset val="134"/>
      </rPr>
      <t>Coop immo ouafaa 34 lot hachemi D 65 local N°01, Sétif.</t>
    </r>
  </si>
  <si>
    <t>Pose de revêtement mural en plaques de plâtre BA13 (standard) sur montants de 48 mm, y compris renforcement en tubes carrés d'acier, soudures et toutes sujétions de bonne exécution.</t>
  </si>
  <si>
    <t>Pose de faux-plafond fixe en plaques de plâtre BA13 (standard), y compris ossature, renforcement en tubes carrés d'acier, soudures et toutes sujétions de bonne exécution.</t>
  </si>
  <si>
    <t>Pose de cloison de séparation en plaques de plâtre BA13 (standard) sur montants de 48 mm, y compris renforcement en tubes carrés d'acier, soudures et toutes sujétions de bonne exécution.</t>
  </si>
  <si>
    <t>Pose d'isolation thermique et phonique en laine de roche, y compris fixations et toutes sujétions de bonne exécution.</t>
  </si>
  <si>
    <t>Pose d'isolation phonique en laine de roche, y compris fixations et toutes sujétions de bonne exécution.</t>
  </si>
  <si>
    <t>Pose de tubes carrés en acier lourd (30x20 mm), y compris soudures, fixations et toutes sujétions de bonne exécution.</t>
  </si>
  <si>
    <t>Pose de tubes carrés en acier lourd (30x50 mm), y compris soudures, fixations et toutes sujétions de bonne exécution.</t>
  </si>
  <si>
    <t>Pose de revêtement en plaques de plâtre BA13 (luniere), y compris renforcement en tubes carrés d'acier, soudures et toutes sujétions de bonne exécution.</t>
  </si>
  <si>
    <t>Pose de plinthes en PVC, y compris coupes, pose et toutes sujétions de bonne exécution.</t>
  </si>
  <si>
    <t>Pose de barres de seuil, y compris fixations et toutes sujétions de bonne exécution.</t>
  </si>
  <si>
    <t>Pose de la peinture satiné, application de deux couches et toutes sujétions de bonne exécution.</t>
  </si>
  <si>
    <t>Pose de la peinture satinée, y compris enduit général, application de deux couches de fixateur (impression) et toutes sujétions de bonne exécution.</t>
  </si>
  <si>
    <t>Pose de revêtement de sol autolissant (ragréage P4), y compris préparation du support et toutes sujétions de bonne exécution.</t>
  </si>
  <si>
    <t>Pose de revêtement de sol en tapis antistatique homogène (ép : 2 mm), y compris pose et toutes sujétions de bonne exécution.</t>
  </si>
  <si>
    <t>Pose de revêtement de sol en multiplex bois (ép : 10 mm), y compris fixations et toutes sujétions de bonne exécution.</t>
  </si>
  <si>
    <t>Pose de revêtement de sol en dalles de sol (60x60 cm), y compris mortier colle, joints et toutes sujétions de bonne exécution.</t>
  </si>
  <si>
    <t>Pose de plinthes en céramique, y compris coupes, pose et toutes sujétions de bonne exécution.</t>
  </si>
  <si>
    <t>Pose de revêtement mural en faïence céramique, y compris pose, joints et toutes sujétions de bonne exécution.</t>
  </si>
  <si>
    <t>Pose de revêtement mural en faïence céramique (luniere), y compris toutes sujétions de bonne exécution.</t>
  </si>
  <si>
    <t>Pose de bureau droit en MDF de haute qualité, y compris assemblage et toutes sujétions de bonne exécution.</t>
  </si>
  <si>
    <t>Pose de bureau d'angle en MDF de haute qualité, y compris assemblage et toutes sujétions de bonne exécution.</t>
  </si>
  <si>
    <t>Pose d'armoire en MDF de haute qualité, y compris quincaillerie, montage et toutes sujétions de bonne exécution.</t>
  </si>
  <si>
    <t>Pose de fenêtre en aluminium (TPR) fix  blanc, dim : (4,00 x 1,00) m, double vitrage feuilleté avec gaz argon, y compris fixations et toutes sujétions de bonne exécution.</t>
  </si>
  <si>
    <t>Pose de fenêtre coulissante en aluminium (TPR) gris, dim : 1,62 x 1,80 m, vitrage feuilleté, y compris fixations et toutes sujétions de bonne exécution.</t>
  </si>
  <si>
    <t>Pose de porte en aluminium (TPR) blanc, dim : 0,80 x 2,10 m, remplissage en panneau sandwich, y compris fixations et toutes sujétions de bonne exécution.</t>
  </si>
  <si>
    <t>Pose de porte en aluminium (TPR) gris, dim : 1,00 x 2,05 m, vitrage feuilleté, y compris fixations et toutes sujétions de bonne exécution.</t>
  </si>
  <si>
    <t>Pose d'imposte en aluminium (TPR) blanc, dim : 0,60 x 0,30 m, simple vitrage feuilleté, y compris fixations et toutes sujétions de bonne exécution.</t>
  </si>
  <si>
    <t>Pose de porte en aluminium (TPR) blanc, dim : 0,97 x 2,13 m, vitrage feuilleté, y compris fixations et toutes sujétions de bonne exécution.</t>
  </si>
  <si>
    <t>Pose de fenêtre coulissante en aluminium (TPR) blanc, dim : 1,50 x 1,17 m, vitrage feuilleté, y compris fixations et toutes sujétions de bonne exécution.</t>
  </si>
  <si>
    <t>Pose de fenêtre coulissante en aluminium (TPR) blanc, dim : 1,17 x 1,17 m, vitrage feuilleté, y compris fixations et toutes sujétions de bonne exécution.</t>
  </si>
  <si>
    <t>Pose de fenêtre coulissante en aluminium (TPR) blanc, dim : 1,17 x 1,00 m, vitrage feuilleté, y compris fixations et toutes sujétions de bonne exécution.</t>
  </si>
  <si>
    <t>Pose de fenêtre coulissante en aluminium (TPR) blanc, dim : 2,00 x 1,16 m, vitrage feuilleté, y compris fixations et toutes sujétions de bonne exécution.</t>
  </si>
  <si>
    <t>Pose de fenetre en aluminium (TPR) blanc, dim : 1,20 x 0,81 m, double vitrage feuilleté avec gaz argon, y compris fixations et toutes sujétions de bonne exécution.</t>
  </si>
  <si>
    <t>Pose de fenetre en aluminium (TPR) blanc, dim : 1,50 x 1,20 m, double vitrage feuilleté avec gaz argon, y compris fixations et toutes sujétions de bonne exécution.</t>
  </si>
  <si>
    <t>Pose de fenêtre coulissante en aluminium (TPR) blanc, dim : 1,50 x 1,20 m, vitrage feuilleté, y compris fixations et toutes sujétions de bonne exécution.</t>
  </si>
  <si>
    <t>Pose de fenetre en aluminium (TPR) blanc, dim : 2,00 x 1,17 m, double vitrage feuilleté avec gaz argon, y compris fixations et toutes sujétions de bonne exécution.</t>
  </si>
  <si>
    <t>Pose de fenêtre coulissante en aluminium (TPR) blanc, dim : 3,00 x 0,80 m, vitrage feuilleté, y compris fixations et toutes sujétions de bonne exécution.</t>
  </si>
  <si>
    <t>Pose d'imposte en aluminium (TPR) blanc, dim : 0,60 x 0,60 m, simple vitrage feuilleté, y compris fixations et toutes sujétions de bonne exécution.</t>
  </si>
  <si>
    <t>Pose de fenêtre coulissante en aluminium (TPR) blanc, dim : 1,80 x 0,82 m, vitrage feuilleté, y compris fixations et toutes sujétions de bonne exécution.</t>
  </si>
  <si>
    <t>Pose de fenêtre coulissante en aluminium STRUGAL anodisé, dim : (1,02 x 1,15) m, double vitrage feuilleté avec gaz argon, y compris fixations et toutes sujétions de bonne exécution.</t>
  </si>
  <si>
    <t>Pose de fenêtre coulissante en aluminium STRUGAL anodisé, dim : (1,97 x 0,95)m, double vitrage feuilleté avec gaz argon, y compris fixations et toutes sujétions de bonne exécution.</t>
  </si>
  <si>
    <t>Pose de fenêtre coulissante en aluminium STRUGAL anodisé, dim : (1,67 x 0,95) m, double vitrage feuilleté avec gaz argon, y compris fixations et toutes sujétions de bonne exécution.</t>
  </si>
  <si>
    <t>Pose de fenêtre coulissante en aluminium STRUGAL anodisé, dim : (1,11 x 0,95) m, double vitrage feuilleté avec gaz argon, y compris fixations et toutes sujétions de bonne exécution.</t>
  </si>
  <si>
    <t>Pose de fenêtre coulissante en aluminium STRUGAL anodisé, dim : (1,14 x 1,14) m, double vitrage feuilleté avec gaz argon, y compris fixations et toutes sujétions de bonne exécution.</t>
  </si>
  <si>
    <t>Pose de fenêtre vasistas en aluminium STRUGAL anodisé, dim : (1,80 x 0,82) m, double vitrage feuilleté avec gaz argon, y compris fixations et toutes sujétions de bonne exécution.</t>
  </si>
  <si>
    <t>Pose d’un évier en acier inoxydable (inox) 1,60 m, y compris fourniture et pose de deux robinets, raccordements hydrauliques (évacuation et alimentation) et toutes sujétions de bonne exécution.</t>
  </si>
  <si>
    <t xml:space="preserve">Pose de jambage en plaque platre pour imposte y compris peinture et fixation et toutes sujétions de bonne exécution. </t>
  </si>
  <si>
    <t xml:space="preserve">Pose de jambage en MDF (blanc ) et toutes sujétions de bonne exécution. </t>
  </si>
  <si>
    <t xml:space="preserve">Pose de trappe de visite en plaque platre  (40*40 cm ) et toutes sujétions de bonne exécution. </t>
  </si>
  <si>
    <t xml:space="preserve">Pose de trappe de visite en plaque platre  (30*30 cm ) et toutes sujétions de bonne exécution. </t>
  </si>
  <si>
    <t>Pose peinture escalier acier (marches et contremarches), y compris rampe et toutes sujétions de bonne exécution.</t>
  </si>
  <si>
    <t>Pose de tapis de prière pour mosquée (moquette spécialisée), y compris découpes, pose ajustée, fixations et toutes sujétions de bonne exécution.</t>
  </si>
  <si>
    <t>Pose de faux-plafond démontable en dalles de plaques de plâtre, y compris ossature, renforcement en tubes carrés d'acier, soudures et toutes sujétions de bonne exécution.</t>
  </si>
  <si>
    <t>54</t>
  </si>
  <si>
    <t>55</t>
  </si>
  <si>
    <t>56</t>
  </si>
  <si>
    <t>Rénovation de salle d'ablution, y compris démolition de l'ancien revetement, pose de dalles de sol, cuvettes, plomberie générale et toutes sujétions de bonne exécution.</t>
  </si>
  <si>
    <t>Rénovation de toilettes, y compris démolition de l'ancien revetement, pose de dalles de sol, cuvettes, plomberie générale et toutes sujétions de bonne exécution.</t>
  </si>
  <si>
    <t>Pose tableau electrique pour bureau GDS.</t>
  </si>
  <si>
    <t>Remise 0%</t>
  </si>
  <si>
    <t>Cinq Millions Trois Cent Vingt Sept Mille Cinq Cent Soixante Douze Dinars Algérien et 94 cts</t>
  </si>
  <si>
    <t>Objet: Services liés aux travaux d'aménagement de l'usine</t>
  </si>
  <si>
    <t>FACTURE N°</t>
  </si>
  <si>
    <t>001/2026</t>
  </si>
  <si>
    <r>
      <t>Arrêtez le Présent facture à la somme de</t>
    </r>
    <r>
      <rPr>
        <b/>
        <u/>
        <sz val="11"/>
        <color theme="1"/>
        <rFont val="Arial"/>
        <charset val="134"/>
      </rPr>
      <t>:</t>
    </r>
    <r>
      <rPr>
        <sz val="11"/>
        <color theme="1"/>
        <rFont val="Arial"/>
        <charset val="134"/>
      </rPr>
      <t xml:space="preserve">  </t>
    </r>
  </si>
  <si>
    <t>Quatre Millions Quatre Cent Soixante Seize Mille Neuf Cent Cinquante Deux Dinars Algérien et 05 cts</t>
  </si>
  <si>
    <t>TVA 19%          (POUR MÉMOIRE)</t>
  </si>
  <si>
    <t>ATTACHEMENT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</si>
</sst>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[$-40C]d\ mmmm\ yyyy;@"/>
    <numFmt numFmtId="166" formatCode="_-* #,##0.00\ _D_A_-;\-* #,##0.00\ _D_A_-;_-* &quot;-&quot;??\ _D_A_-;_-@_-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Cambria"/>
      <charset val="134"/>
      <scheme val="major"/>
    </font>
    <font>
      <sz val="10"/>
      <color theme="1"/>
      <name val="Cambria"/>
      <charset val="134"/>
      <scheme val="major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name val="Arial"/>
      <charset val="134"/>
    </font>
    <font>
      <sz val="22"/>
      <color theme="1"/>
      <name val="Arial"/>
      <charset val="134"/>
    </font>
    <font>
      <sz val="12"/>
      <color theme="1"/>
      <name val="Arial"/>
      <charset val="134"/>
    </font>
    <font>
      <sz val="10"/>
      <color theme="1"/>
      <name val="Angsana New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2"/>
      <color theme="1"/>
      <name val="Arial"/>
      <charset val="134"/>
    </font>
    <font>
      <sz val="11"/>
      <color theme="1"/>
      <name val="Angsana New"/>
      <charset val="134"/>
    </font>
    <font>
      <b/>
      <sz val="11"/>
      <color theme="1"/>
      <name val="Arial"/>
      <charset val="134"/>
    </font>
    <font>
      <b/>
      <u/>
      <sz val="10"/>
      <color theme="1"/>
      <name val="Arial"/>
      <charset val="134"/>
    </font>
    <font>
      <b/>
      <u/>
      <sz val="11"/>
      <color theme="1"/>
      <name val="Arial"/>
      <charset val="134"/>
    </font>
    <font>
      <b/>
      <u/>
      <sz val="11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b/>
      <sz val="22"/>
      <color theme="1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24" fillId="0" borderId="0" applyFont="0" applyFill="0" applyBorder="0" applyAlignment="0" applyProtection="0"/>
  </cellStyleXfs>
  <cellXfs count="18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horizontal="left" vertical="center"/>
    </xf>
    <xf numFmtId="165" fontId="15" fillId="0" borderId="0" xfId="0" applyNumberFormat="1" applyFont="1" applyAlignment="1">
      <alignment vertical="center"/>
    </xf>
    <xf numFmtId="49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vertical="center"/>
    </xf>
    <xf numFmtId="0" fontId="17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6" fontId="9" fillId="2" borderId="10" xfId="0" applyNumberFormat="1" applyFont="1" applyFill="1" applyBorder="1" applyAlignment="1">
      <alignment horizontal="center" vertical="center"/>
    </xf>
    <xf numFmtId="166" fontId="9" fillId="2" borderId="11" xfId="0" applyNumberFormat="1" applyFont="1" applyFill="1" applyBorder="1" applyAlignment="1">
      <alignment horizontal="center" vertical="center"/>
    </xf>
    <xf numFmtId="166" fontId="9" fillId="2" borderId="21" xfId="0" applyNumberFormat="1" applyFont="1" applyFill="1" applyBorder="1" applyAlignment="1">
      <alignment horizontal="center" vertical="center"/>
    </xf>
    <xf numFmtId="166" fontId="9" fillId="2" borderId="9" xfId="1" applyNumberFormat="1" applyFont="1" applyFill="1" applyBorder="1" applyAlignment="1">
      <alignment horizontal="center" vertical="center"/>
    </xf>
    <xf numFmtId="166" fontId="9" fillId="2" borderId="22" xfId="1" applyNumberFormat="1" applyFont="1" applyFill="1" applyBorder="1" applyAlignment="1">
      <alignment horizontal="center" vertical="center"/>
    </xf>
    <xf numFmtId="166" fontId="9" fillId="2" borderId="23" xfId="1" applyNumberFormat="1" applyFont="1" applyFill="1" applyBorder="1" applyAlignment="1">
      <alignment horizontal="center" vertical="center"/>
    </xf>
    <xf numFmtId="166" fontId="9" fillId="0" borderId="24" xfId="1" applyNumberFormat="1" applyFont="1" applyBorder="1" applyAlignment="1">
      <alignment vertical="center"/>
    </xf>
    <xf numFmtId="166" fontId="9" fillId="0" borderId="11" xfId="1" applyNumberFormat="1" applyFont="1" applyBorder="1" applyAlignment="1">
      <alignment vertical="center"/>
    </xf>
    <xf numFmtId="166" fontId="9" fillId="0" borderId="21" xfId="1" applyNumberFormat="1" applyFont="1" applyBorder="1" applyAlignment="1">
      <alignment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8" fillId="0" borderId="0" xfId="0" applyFont="1" applyAlignment="1">
      <alignment horizontal="left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/>
    </xf>
    <xf numFmtId="166" fontId="9" fillId="2" borderId="8" xfId="0" applyNumberFormat="1" applyFont="1" applyFill="1" applyBorder="1" applyAlignment="1">
      <alignment horizontal="center" vertical="center"/>
    </xf>
    <xf numFmtId="166" fontId="9" fillId="2" borderId="17" xfId="0" applyNumberFormat="1" applyFont="1" applyFill="1" applyBorder="1" applyAlignment="1">
      <alignment horizontal="center" vertical="center"/>
    </xf>
    <xf numFmtId="166" fontId="9" fillId="2" borderId="6" xfId="1" applyNumberFormat="1" applyFont="1" applyFill="1" applyBorder="1" applyAlignment="1">
      <alignment horizontal="center" vertical="center"/>
    </xf>
    <xf numFmtId="166" fontId="9" fillId="2" borderId="18" xfId="1" applyNumberFormat="1" applyFont="1" applyFill="1" applyBorder="1" applyAlignment="1">
      <alignment horizontal="center" vertical="center"/>
    </xf>
    <xf numFmtId="166" fontId="9" fillId="2" borderId="19" xfId="1" applyNumberFormat="1" applyFont="1" applyFill="1" applyBorder="1" applyAlignment="1">
      <alignment horizontal="center" vertical="center"/>
    </xf>
    <xf numFmtId="166" fontId="9" fillId="0" borderId="20" xfId="1" applyNumberFormat="1" applyFont="1" applyBorder="1" applyAlignment="1">
      <alignment vertical="center"/>
    </xf>
    <xf numFmtId="166" fontId="9" fillId="0" borderId="8" xfId="1" applyNumberFormat="1" applyFont="1" applyBorder="1" applyAlignment="1">
      <alignment vertical="center"/>
    </xf>
    <xf numFmtId="166" fontId="9" fillId="0" borderId="17" xfId="1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6" fontId="9" fillId="2" borderId="25" xfId="0" applyNumberFormat="1" applyFont="1" applyFill="1" applyBorder="1" applyAlignment="1">
      <alignment horizontal="center" vertical="center"/>
    </xf>
    <xf numFmtId="166" fontId="9" fillId="2" borderId="26" xfId="0" applyNumberFormat="1" applyFont="1" applyFill="1" applyBorder="1" applyAlignment="1">
      <alignment horizontal="center" vertical="center"/>
    </xf>
    <xf numFmtId="166" fontId="9" fillId="2" borderId="30" xfId="0" applyNumberFormat="1" applyFont="1" applyFill="1" applyBorder="1" applyAlignment="1">
      <alignment horizontal="center" vertical="center"/>
    </xf>
    <xf numFmtId="166" fontId="9" fillId="0" borderId="31" xfId="1" applyNumberFormat="1" applyFont="1" applyBorder="1" applyAlignment="1">
      <alignment horizontal="center" vertical="center"/>
    </xf>
    <xf numFmtId="166" fontId="9" fillId="0" borderId="32" xfId="1" applyNumberFormat="1" applyFont="1" applyBorder="1" applyAlignment="1">
      <alignment horizontal="center" vertical="center"/>
    </xf>
    <xf numFmtId="166" fontId="9" fillId="0" borderId="33" xfId="1" applyNumberFormat="1" applyFont="1" applyBorder="1" applyAlignment="1">
      <alignment horizontal="center" vertical="center"/>
    </xf>
    <xf numFmtId="166" fontId="9" fillId="0" borderId="34" xfId="1" applyNumberFormat="1" applyFont="1" applyBorder="1" applyAlignment="1">
      <alignment vertical="center"/>
    </xf>
    <xf numFmtId="166" fontId="9" fillId="0" borderId="26" xfId="1" applyNumberFormat="1" applyFont="1" applyBorder="1" applyAlignment="1">
      <alignment vertical="center"/>
    </xf>
    <xf numFmtId="166" fontId="9" fillId="0" borderId="30" xfId="1" applyNumberFormat="1" applyFont="1" applyBorder="1" applyAlignment="1">
      <alignment vertical="center"/>
    </xf>
    <xf numFmtId="165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1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6" fontId="9" fillId="0" borderId="9" xfId="1" applyNumberFormat="1" applyFont="1" applyBorder="1" applyAlignment="1">
      <alignment horizontal="center" vertical="center"/>
    </xf>
    <xf numFmtId="166" fontId="9" fillId="0" borderId="22" xfId="1" applyNumberFormat="1" applyFont="1" applyBorder="1" applyAlignment="1">
      <alignment horizontal="center" vertical="center"/>
    </xf>
    <xf numFmtId="166" fontId="9" fillId="0" borderId="23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35" xfId="1" applyFont="1" applyBorder="1" applyAlignment="1">
      <alignment horizontal="center" vertical="center"/>
    </xf>
    <xf numFmtId="164" fontId="5" fillId="0" borderId="27" xfId="1" applyFont="1" applyBorder="1" applyAlignment="1">
      <alignment horizontal="center" vertical="center"/>
    </xf>
    <xf numFmtId="164" fontId="5" fillId="0" borderId="36" xfId="1" applyFont="1" applyBorder="1" applyAlignment="1">
      <alignment horizontal="center" vertical="center"/>
    </xf>
    <xf numFmtId="164" fontId="5" fillId="2" borderId="35" xfId="0" applyNumberFormat="1" applyFont="1" applyFill="1" applyBorder="1" applyAlignment="1">
      <alignment horizontal="center" vertical="center"/>
    </xf>
    <xf numFmtId="164" fontId="5" fillId="2" borderId="27" xfId="0" applyNumberFormat="1" applyFont="1" applyFill="1" applyBorder="1" applyAlignment="1">
      <alignment horizontal="center" vertical="center"/>
    </xf>
    <xf numFmtId="164" fontId="5" fillId="2" borderId="36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64" fontId="5" fillId="0" borderId="31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0" borderId="27" xfId="0" applyFont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/>
    <xf numFmtId="0" fontId="3" fillId="0" borderId="0" xfId="0" applyFont="1" applyBorder="1"/>
    <xf numFmtId="164" fontId="5" fillId="0" borderId="0" xfId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6" fontId="9" fillId="0" borderId="0" xfId="1" applyNumberFormat="1" applyFont="1" applyBorder="1" applyAlignment="1">
      <alignment vertical="center"/>
    </xf>
    <xf numFmtId="0" fontId="2" fillId="2" borderId="43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49" fontId="9" fillId="0" borderId="35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1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2" fillId="0" borderId="0" xfId="0" applyFont="1" applyBorder="1" applyAlignment="1"/>
    <xf numFmtId="0" fontId="18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164" fontId="5" fillId="2" borderId="0" xfId="0" applyNumberFormat="1" applyFont="1" applyFill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165" fontId="2" fillId="0" borderId="0" xfId="0" applyNumberFormat="1" applyFont="1" applyAlignme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47625</xdr:rowOff>
    </xdr:from>
    <xdr:to>
      <xdr:col>3</xdr:col>
      <xdr:colOff>156209</xdr:colOff>
      <xdr:row>5</xdr:row>
      <xdr:rowOff>173355</xdr:rowOff>
    </xdr:to>
    <xdr:pic>
      <xdr:nvPicPr>
        <xdr:cNvPr id="2" name="Image 1" descr="IMG-20230618-WA00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340" y="47625"/>
          <a:ext cx="1234440" cy="11982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47625</xdr:rowOff>
    </xdr:from>
    <xdr:to>
      <xdr:col>3</xdr:col>
      <xdr:colOff>156209</xdr:colOff>
      <xdr:row>5</xdr:row>
      <xdr:rowOff>79151</xdr:rowOff>
    </xdr:to>
    <xdr:pic>
      <xdr:nvPicPr>
        <xdr:cNvPr id="2" name="Image 1" descr="IMG-20230618-WA0000.jpg">
          <a:extLst>
            <a:ext uri="{FF2B5EF4-FFF2-40B4-BE49-F238E27FC236}">
              <a16:creationId xmlns:a16="http://schemas.microsoft.com/office/drawing/2014/main" id="{F753AF25-07C0-497D-806D-8FC0C624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327785" cy="118300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47625</xdr:rowOff>
    </xdr:from>
    <xdr:to>
      <xdr:col>3</xdr:col>
      <xdr:colOff>114299</xdr:colOff>
      <xdr:row>5</xdr:row>
      <xdr:rowOff>171450</xdr:rowOff>
    </xdr:to>
    <xdr:pic>
      <xdr:nvPicPr>
        <xdr:cNvPr id="3" name="Image 2" descr="IMG-20230618-WA0000.jpg">
          <a:extLst>
            <a:ext uri="{FF2B5EF4-FFF2-40B4-BE49-F238E27FC236}">
              <a16:creationId xmlns:a16="http://schemas.microsoft.com/office/drawing/2014/main" id="{3BCA9858-4D4F-4B15-803A-4EF527263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285875" cy="1181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47625</xdr:rowOff>
    </xdr:from>
    <xdr:to>
      <xdr:col>3</xdr:col>
      <xdr:colOff>156209</xdr:colOff>
      <xdr:row>5</xdr:row>
      <xdr:rowOff>79151</xdr:rowOff>
    </xdr:to>
    <xdr:pic>
      <xdr:nvPicPr>
        <xdr:cNvPr id="2" name="Image 1" descr="IMG-20230618-WA0000.jpg">
          <a:extLst>
            <a:ext uri="{FF2B5EF4-FFF2-40B4-BE49-F238E27FC236}">
              <a16:creationId xmlns:a16="http://schemas.microsoft.com/office/drawing/2014/main" id="{32155564-D948-4276-BBEC-65A5FF7F8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327785" cy="118405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47625</xdr:rowOff>
    </xdr:from>
    <xdr:to>
      <xdr:col>3</xdr:col>
      <xdr:colOff>114299</xdr:colOff>
      <xdr:row>5</xdr:row>
      <xdr:rowOff>171450</xdr:rowOff>
    </xdr:to>
    <xdr:pic>
      <xdr:nvPicPr>
        <xdr:cNvPr id="3" name="Image 2" descr="IMG-20230618-WA0000.jpg">
          <a:extLst>
            <a:ext uri="{FF2B5EF4-FFF2-40B4-BE49-F238E27FC236}">
              <a16:creationId xmlns:a16="http://schemas.microsoft.com/office/drawing/2014/main" id="{3A2346B0-73D8-48A7-B62B-1AB6868A6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285875" cy="1276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47625</xdr:rowOff>
    </xdr:from>
    <xdr:to>
      <xdr:col>3</xdr:col>
      <xdr:colOff>156209</xdr:colOff>
      <xdr:row>5</xdr:row>
      <xdr:rowOff>79151</xdr:rowOff>
    </xdr:to>
    <xdr:pic>
      <xdr:nvPicPr>
        <xdr:cNvPr id="2" name="Image 1" descr="IMG-20230618-WA0000.jpg">
          <a:extLst>
            <a:ext uri="{FF2B5EF4-FFF2-40B4-BE49-F238E27FC236}">
              <a16:creationId xmlns:a16="http://schemas.microsoft.com/office/drawing/2014/main" id="{EF241370-9F19-419A-8E45-5C80252DE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327785" cy="118405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47625</xdr:rowOff>
    </xdr:from>
    <xdr:to>
      <xdr:col>3</xdr:col>
      <xdr:colOff>114299</xdr:colOff>
      <xdr:row>5</xdr:row>
      <xdr:rowOff>171450</xdr:rowOff>
    </xdr:to>
    <xdr:pic>
      <xdr:nvPicPr>
        <xdr:cNvPr id="3" name="Image 2" descr="IMG-20230618-WA0000.jpg">
          <a:extLst>
            <a:ext uri="{FF2B5EF4-FFF2-40B4-BE49-F238E27FC236}">
              <a16:creationId xmlns:a16="http://schemas.microsoft.com/office/drawing/2014/main" id="{57F777C3-ACCD-47C3-8439-006114D82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285875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92"/>
  <sheetViews>
    <sheetView view="pageLayout" zoomScale="91" zoomScaleNormal="70" zoomScaleSheetLayoutView="70" zoomScalePageLayoutView="91" workbookViewId="0">
      <selection activeCell="Y11" sqref="Y11:AB11"/>
    </sheetView>
  </sheetViews>
  <sheetFormatPr baseColWidth="10" defaultColWidth="10.7109375" defaultRowHeight="15"/>
  <cols>
    <col min="1" max="1" width="5.28515625" customWidth="1"/>
    <col min="2" max="2" width="10.7109375" customWidth="1"/>
    <col min="3" max="6" width="2.85546875" customWidth="1"/>
    <col min="7" max="7" width="2.28515625" customWidth="1"/>
    <col min="8" max="9" width="2.85546875" customWidth="1"/>
    <col min="10" max="10" width="2.28515625" customWidth="1"/>
    <col min="11" max="11" width="0.140625" hidden="1" customWidth="1"/>
    <col min="12" max="12" width="4.42578125" customWidth="1"/>
    <col min="13" max="13" width="6.85546875" customWidth="1"/>
    <col min="14" max="14" width="7.140625" customWidth="1"/>
    <col min="15" max="16" width="2.85546875" customWidth="1"/>
    <col min="17" max="17" width="5.7109375" customWidth="1"/>
    <col min="18" max="18" width="6.28515625" customWidth="1"/>
    <col min="19" max="19" width="4.42578125" customWidth="1"/>
    <col min="20" max="20" width="17.140625" customWidth="1"/>
    <col min="21" max="21" width="4.5703125" customWidth="1"/>
    <col min="22" max="22" width="6" customWidth="1"/>
    <col min="23" max="23" width="2.85546875" customWidth="1"/>
    <col min="24" max="24" width="8.28515625" customWidth="1"/>
    <col min="25" max="25" width="3" customWidth="1"/>
    <col min="26" max="26" width="4.85546875" customWidth="1"/>
    <col min="27" max="27" width="2.28515625" customWidth="1"/>
    <col min="28" max="28" width="3.5703125" customWidth="1"/>
    <col min="29" max="29" width="6.7109375" customWidth="1"/>
    <col min="30" max="30" width="3.140625" customWidth="1"/>
    <col min="31" max="31" width="2.85546875" customWidth="1"/>
    <col min="32" max="32" width="3.42578125" customWidth="1"/>
    <col min="33" max="33" width="1.85546875" customWidth="1"/>
    <col min="34" max="34" width="5.7109375" customWidth="1"/>
    <col min="35" max="35" width="2.85546875" customWidth="1"/>
    <col min="36" max="36" width="6.7109375" customWidth="1"/>
    <col min="37" max="37" width="4.85546875" customWidth="1"/>
    <col min="38" max="38" width="2.28515625" customWidth="1"/>
    <col min="39" max="39" width="3.5703125" customWidth="1"/>
    <col min="40" max="40" width="14" customWidth="1"/>
    <col min="41" max="41" width="3.140625" customWidth="1"/>
    <col min="42" max="42" width="2.85546875" customWidth="1"/>
    <col min="43" max="43" width="3.42578125" customWidth="1"/>
    <col min="44" max="44" width="1.85546875" customWidth="1"/>
    <col min="45" max="45" width="5.7109375" customWidth="1"/>
    <col min="46" max="46" width="2.85546875" customWidth="1"/>
    <col min="47" max="47" width="6.85546875" customWidth="1"/>
    <col min="48" max="51" width="2.85546875" customWidth="1"/>
    <col min="52" max="52" width="6.28515625" customWidth="1"/>
    <col min="53" max="54" width="2.85546875" customWidth="1"/>
  </cols>
  <sheetData>
    <row r="1" spans="2:34" ht="15" customHeight="1">
      <c r="I1" s="141" t="s">
        <v>0</v>
      </c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22"/>
    </row>
    <row r="2" spans="2:34" ht="15" customHeight="1"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22"/>
    </row>
    <row r="3" spans="2:34" ht="17.25" customHeight="1"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23"/>
      <c r="AG3" s="6"/>
    </row>
    <row r="4" spans="2:34" ht="18.600000000000001" customHeight="1"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4"/>
      <c r="AF4" s="23"/>
      <c r="AG4" s="6"/>
    </row>
    <row r="5" spans="2:34" ht="18.600000000000001" customHeight="1">
      <c r="I5" s="63" t="s">
        <v>144</v>
      </c>
      <c r="J5" s="63"/>
      <c r="K5" s="63"/>
      <c r="L5" s="63"/>
      <c r="M5" s="63"/>
      <c r="N5" s="63"/>
      <c r="O5" s="63"/>
      <c r="P5" s="63"/>
      <c r="Q5" s="63"/>
      <c r="R5" s="63"/>
      <c r="AG5" s="5"/>
    </row>
    <row r="6" spans="2:34">
      <c r="I6" s="63" t="s">
        <v>145</v>
      </c>
      <c r="J6" s="63"/>
      <c r="K6" s="63"/>
      <c r="L6" s="63"/>
      <c r="M6" s="63"/>
      <c r="N6" s="63"/>
      <c r="O6" s="63"/>
      <c r="P6" s="63"/>
      <c r="Q6" s="63"/>
      <c r="R6" s="5"/>
      <c r="S6" s="5"/>
      <c r="T6" s="5"/>
      <c r="U6" s="5"/>
      <c r="V6" s="64"/>
      <c r="W6" s="64"/>
      <c r="X6" s="64"/>
      <c r="Y6" s="64"/>
      <c r="Z6" s="64"/>
      <c r="AA6" s="64"/>
      <c r="AB6" s="64"/>
      <c r="AC6" s="64"/>
      <c r="AD6" s="5"/>
      <c r="AE6" s="5"/>
      <c r="AF6" s="5"/>
      <c r="AG6" s="5"/>
      <c r="AH6" s="9"/>
    </row>
    <row r="7" spans="2:34">
      <c r="I7" s="63" t="s">
        <v>146</v>
      </c>
      <c r="J7" s="63"/>
      <c r="K7" s="63"/>
      <c r="L7" s="63"/>
      <c r="M7" s="63"/>
      <c r="N7" s="63"/>
      <c r="O7" s="63"/>
      <c r="P7" s="6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8"/>
    </row>
    <row r="8" spans="2:34">
      <c r="B8" s="80" t="s">
        <v>1</v>
      </c>
      <c r="C8" s="4" t="s">
        <v>2</v>
      </c>
      <c r="D8" s="5"/>
      <c r="E8" s="5"/>
      <c r="F8" s="6"/>
      <c r="G8" s="6"/>
      <c r="I8" s="63" t="s">
        <v>147</v>
      </c>
      <c r="J8" s="63"/>
      <c r="K8" s="63"/>
      <c r="L8" s="63"/>
      <c r="M8" s="63"/>
      <c r="N8" s="63"/>
      <c r="O8" s="6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9"/>
    </row>
    <row r="9" spans="2:34" ht="15" customHeight="1">
      <c r="B9" s="80"/>
      <c r="C9" s="4" t="s">
        <v>3</v>
      </c>
      <c r="D9" s="5"/>
      <c r="E9" s="5"/>
      <c r="F9" s="6"/>
      <c r="G9" s="6"/>
      <c r="I9" s="81" t="s">
        <v>4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9"/>
    </row>
    <row r="10" spans="2:34" ht="11.25" customHeight="1">
      <c r="B10" s="7"/>
      <c r="C10" s="8"/>
      <c r="D10" s="9"/>
      <c r="E10" s="9"/>
      <c r="I10" s="8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"/>
      <c r="AG10" s="9"/>
      <c r="AH10" s="9"/>
    </row>
    <row r="11" spans="2:34" ht="28.5" customHeight="1">
      <c r="B11" s="98" t="s">
        <v>5</v>
      </c>
      <c r="C11" s="98"/>
      <c r="D11" s="98"/>
      <c r="E11" s="98"/>
      <c r="F11" s="98"/>
      <c r="G11" s="98"/>
      <c r="H11" s="10"/>
      <c r="I11" s="10"/>
      <c r="J11" s="10"/>
      <c r="K11" s="10"/>
      <c r="L11" s="10"/>
      <c r="M11" s="10"/>
      <c r="N11" s="10"/>
      <c r="O11" s="10"/>
      <c r="P11" s="16"/>
      <c r="Q11" s="16"/>
      <c r="R11" s="16"/>
      <c r="S11" s="99" t="s">
        <v>6</v>
      </c>
      <c r="T11" s="99"/>
      <c r="U11" s="99"/>
      <c r="V11" s="99"/>
      <c r="W11" s="99"/>
      <c r="X11" s="99"/>
      <c r="Y11" s="100" t="s">
        <v>142</v>
      </c>
      <c r="Z11" s="100"/>
      <c r="AA11" s="100"/>
      <c r="AB11" s="100"/>
      <c r="AC11" s="101" t="s">
        <v>7</v>
      </c>
      <c r="AD11" s="101"/>
      <c r="AE11" s="101"/>
      <c r="AF11" s="101"/>
      <c r="AG11" s="101"/>
      <c r="AH11" s="101"/>
    </row>
    <row r="12" spans="2:34" ht="24.75" customHeight="1">
      <c r="B12" s="102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7"/>
      <c r="Q12" s="17"/>
      <c r="R12" s="19"/>
      <c r="S12" s="103" t="s">
        <v>9</v>
      </c>
      <c r="T12" s="103"/>
      <c r="U12" s="103"/>
      <c r="V12" s="104">
        <v>46047</v>
      </c>
      <c r="W12" s="104"/>
      <c r="X12" s="104"/>
      <c r="Y12" s="104"/>
      <c r="Z12" s="104"/>
      <c r="AA12" s="104"/>
      <c r="AB12" s="104"/>
      <c r="AC12" s="104"/>
      <c r="AD12" s="104"/>
      <c r="AE12" s="24"/>
      <c r="AF12" s="5"/>
      <c r="AG12" s="27"/>
      <c r="AH12" s="15"/>
    </row>
    <row r="13" spans="2:34" ht="15.75">
      <c r="B13" s="107" t="s">
        <v>10</v>
      </c>
      <c r="C13" s="107"/>
      <c r="D13" s="107"/>
      <c r="E13" s="65" t="s">
        <v>11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18"/>
      <c r="Q13" s="18"/>
      <c r="R13" s="19"/>
      <c r="S13" s="20"/>
      <c r="T13" s="20"/>
      <c r="U13" s="20"/>
      <c r="V13" s="21"/>
      <c r="W13" s="21"/>
      <c r="X13" s="21"/>
      <c r="Y13" s="21"/>
      <c r="Z13" s="21"/>
      <c r="AA13" s="21"/>
      <c r="AB13" s="21"/>
      <c r="AC13" s="21"/>
      <c r="AD13" s="25"/>
      <c r="AE13" s="5"/>
      <c r="AF13" s="5"/>
      <c r="AG13" s="27"/>
      <c r="AH13" s="15"/>
    </row>
    <row r="14" spans="2:34" ht="9.75" customHeight="1">
      <c r="B14" s="107"/>
      <c r="C14" s="107"/>
      <c r="D14" s="10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18"/>
      <c r="Q14" s="18"/>
      <c r="R14" s="19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>
      <c r="B15" s="81" t="s">
        <v>12</v>
      </c>
      <c r="C15" s="81"/>
      <c r="D15" s="81"/>
      <c r="E15" s="81" t="s">
        <v>13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18"/>
      <c r="Q15" s="18"/>
      <c r="R15" s="19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96"/>
      <c r="AD15" s="96"/>
      <c r="AE15" s="96"/>
      <c r="AF15" s="96"/>
      <c r="AG15" s="96"/>
      <c r="AH15" s="96"/>
    </row>
    <row r="16" spans="2:34">
      <c r="B16" s="81" t="s">
        <v>14</v>
      </c>
      <c r="C16" s="81"/>
      <c r="D16" s="4"/>
      <c r="E16" s="105" t="s">
        <v>15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8"/>
      <c r="Q16" s="18"/>
      <c r="R16" s="19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26"/>
      <c r="AD16" s="26"/>
      <c r="AE16" s="26"/>
      <c r="AF16" s="26"/>
      <c r="AG16" s="26"/>
      <c r="AH16" s="26"/>
    </row>
    <row r="17" spans="2:40">
      <c r="B17" s="81" t="s">
        <v>16</v>
      </c>
      <c r="C17" s="81"/>
      <c r="D17" s="4"/>
      <c r="E17" s="106" t="s">
        <v>7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8"/>
      <c r="Q17" s="18"/>
      <c r="R17" s="19"/>
      <c r="Y17" s="96"/>
      <c r="Z17" s="96"/>
      <c r="AA17" s="96"/>
      <c r="AB17" s="96"/>
      <c r="AC17" s="96"/>
      <c r="AD17" s="96"/>
      <c r="AE17" s="96"/>
      <c r="AF17" s="96"/>
      <c r="AG17" s="96"/>
      <c r="AH17" s="96"/>
    </row>
    <row r="18" spans="2:40">
      <c r="B18" s="81" t="s">
        <v>17</v>
      </c>
      <c r="C18" s="81"/>
      <c r="D18" s="4"/>
      <c r="E18" s="81">
        <v>16332112051</v>
      </c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18"/>
      <c r="Q18" s="18"/>
      <c r="R18" s="9"/>
      <c r="S18" s="5"/>
      <c r="T18" s="5"/>
      <c r="U18" s="5"/>
      <c r="V18" s="5"/>
      <c r="W18" s="5"/>
      <c r="X18" s="5"/>
      <c r="Y18" s="96"/>
      <c r="Z18" s="96"/>
      <c r="AA18" s="96"/>
      <c r="AB18" s="96"/>
      <c r="AC18" s="25"/>
      <c r="AD18" s="25"/>
      <c r="AE18" s="25"/>
      <c r="AF18" s="25"/>
      <c r="AG18" s="25"/>
      <c r="AH18" s="5"/>
    </row>
    <row r="19" spans="2:40">
      <c r="B19" s="11"/>
      <c r="C19" s="11"/>
      <c r="D19" s="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8"/>
      <c r="Q19" s="18"/>
      <c r="R19" s="9"/>
      <c r="S19" s="5"/>
      <c r="T19" s="5"/>
      <c r="U19" s="5"/>
      <c r="V19" s="5"/>
      <c r="W19" s="5"/>
      <c r="X19" s="5"/>
      <c r="Y19" s="26"/>
      <c r="Z19" s="26"/>
      <c r="AA19" s="26"/>
      <c r="AB19" s="26"/>
      <c r="AC19" s="25"/>
      <c r="AD19" s="25"/>
      <c r="AE19" s="25"/>
      <c r="AF19" s="25"/>
      <c r="AG19" s="25"/>
      <c r="AH19" s="5"/>
    </row>
    <row r="20" spans="2:40">
      <c r="B20" s="11" t="s">
        <v>7</v>
      </c>
      <c r="C20" s="11" t="s">
        <v>7</v>
      </c>
      <c r="D20" s="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8"/>
      <c r="Q20" s="18"/>
      <c r="R20" s="9"/>
      <c r="S20" s="5"/>
      <c r="T20" s="5"/>
      <c r="U20" s="5"/>
      <c r="V20" s="5"/>
      <c r="W20" s="5"/>
      <c r="X20" s="5"/>
      <c r="Y20" s="26"/>
      <c r="Z20" s="26"/>
      <c r="AA20" s="26"/>
      <c r="AB20" s="26"/>
      <c r="AC20" s="25"/>
      <c r="AD20" s="25"/>
      <c r="AE20" s="25"/>
      <c r="AF20" s="25"/>
      <c r="AG20" s="25"/>
      <c r="AH20" s="5"/>
    </row>
    <row r="21" spans="2:40">
      <c r="B21" s="11"/>
      <c r="C21" s="11"/>
      <c r="D21" s="4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8"/>
      <c r="Q21" s="18"/>
      <c r="R21" s="9"/>
      <c r="S21" s="5"/>
      <c r="T21" s="5"/>
      <c r="U21" s="5"/>
      <c r="V21" s="5"/>
      <c r="W21" s="5"/>
      <c r="X21" s="5"/>
      <c r="Y21" s="26"/>
      <c r="Z21" s="26"/>
      <c r="AA21" s="26"/>
      <c r="AB21" s="26"/>
      <c r="AC21" s="25"/>
      <c r="AD21" s="25"/>
      <c r="AE21" s="25"/>
      <c r="AF21" s="25"/>
      <c r="AG21" s="25"/>
      <c r="AH21" s="5"/>
    </row>
    <row r="22" spans="2:40" s="1" customFormat="1" ht="18.75" customHeight="1">
      <c r="B22" s="12" t="s">
        <v>18</v>
      </c>
      <c r="C22" s="108" t="s">
        <v>19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0"/>
      <c r="U22" s="108" t="s">
        <v>20</v>
      </c>
      <c r="V22" s="110"/>
      <c r="W22" s="108" t="s">
        <v>21</v>
      </c>
      <c r="X22" s="109"/>
      <c r="Y22" s="111"/>
      <c r="Z22" s="112" t="s">
        <v>22</v>
      </c>
      <c r="AA22" s="109"/>
      <c r="AB22" s="109"/>
      <c r="AC22" s="111"/>
      <c r="AD22" s="112" t="s">
        <v>23</v>
      </c>
      <c r="AE22" s="109"/>
      <c r="AF22" s="109"/>
      <c r="AG22" s="109"/>
      <c r="AH22" s="111"/>
    </row>
    <row r="23" spans="2:40" s="1" customFormat="1" ht="30.75" customHeight="1">
      <c r="B23" s="13" t="s">
        <v>24</v>
      </c>
      <c r="C23" s="66" t="s">
        <v>25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9" t="s">
        <v>26</v>
      </c>
      <c r="V23" s="70"/>
      <c r="W23" s="71">
        <v>513.58000000000004</v>
      </c>
      <c r="X23" s="72"/>
      <c r="Y23" s="73"/>
      <c r="Z23" s="74">
        <v>1715</v>
      </c>
      <c r="AA23" s="75"/>
      <c r="AB23" s="75"/>
      <c r="AC23" s="76"/>
      <c r="AD23" s="77">
        <f>W23*Z23</f>
        <v>880789.70000000007</v>
      </c>
      <c r="AE23" s="78"/>
      <c r="AF23" s="78"/>
      <c r="AG23" s="78"/>
      <c r="AH23" s="79"/>
      <c r="AI23" s="28"/>
      <c r="AN23" s="29"/>
    </row>
    <row r="24" spans="2:40" s="1" customFormat="1" ht="42.75" customHeight="1">
      <c r="B24" s="14" t="s">
        <v>27</v>
      </c>
      <c r="C24" s="40" t="s">
        <v>28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/>
      <c r="U24" s="43" t="s">
        <v>26</v>
      </c>
      <c r="V24" s="44"/>
      <c r="W24" s="45">
        <v>458.35</v>
      </c>
      <c r="X24" s="46"/>
      <c r="Y24" s="47"/>
      <c r="Z24" s="48">
        <v>1890</v>
      </c>
      <c r="AA24" s="49"/>
      <c r="AB24" s="49"/>
      <c r="AC24" s="50"/>
      <c r="AD24" s="51">
        <f>W24*Z24</f>
        <v>866281.5</v>
      </c>
      <c r="AE24" s="52"/>
      <c r="AF24" s="52"/>
      <c r="AG24" s="52"/>
      <c r="AH24" s="53"/>
      <c r="AI24" s="28"/>
      <c r="AN24" s="29"/>
    </row>
    <row r="25" spans="2:40" s="1" customFormat="1" ht="29.25" customHeight="1">
      <c r="B25" s="14" t="s">
        <v>29</v>
      </c>
      <c r="C25" s="40" t="s">
        <v>30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  <c r="U25" s="43" t="s">
        <v>26</v>
      </c>
      <c r="V25" s="44"/>
      <c r="W25" s="45">
        <v>178.11</v>
      </c>
      <c r="X25" s="46"/>
      <c r="Y25" s="47"/>
      <c r="Z25" s="48">
        <v>1855</v>
      </c>
      <c r="AA25" s="49"/>
      <c r="AB25" s="49"/>
      <c r="AC25" s="50"/>
      <c r="AD25" s="51">
        <f t="shared" ref="AD25:AD75" si="0">W25*Z25</f>
        <v>330394.05000000005</v>
      </c>
      <c r="AE25" s="52"/>
      <c r="AF25" s="52"/>
      <c r="AG25" s="52"/>
      <c r="AH25" s="53"/>
      <c r="AI25" s="28"/>
      <c r="AN25" s="29"/>
    </row>
    <row r="26" spans="2:40" s="1" customFormat="1" ht="44.25" customHeight="1">
      <c r="B26" s="14" t="s">
        <v>31</v>
      </c>
      <c r="C26" s="40" t="s">
        <v>32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  <c r="U26" s="43" t="s">
        <v>26</v>
      </c>
      <c r="V26" s="44"/>
      <c r="W26" s="45">
        <v>76</v>
      </c>
      <c r="X26" s="46"/>
      <c r="Y26" s="47"/>
      <c r="Z26" s="48">
        <v>2240</v>
      </c>
      <c r="AA26" s="49"/>
      <c r="AB26" s="49"/>
      <c r="AC26" s="50"/>
      <c r="AD26" s="51">
        <f t="shared" si="0"/>
        <v>170240</v>
      </c>
      <c r="AE26" s="52"/>
      <c r="AF26" s="52"/>
      <c r="AG26" s="52"/>
      <c r="AH26" s="53"/>
      <c r="AI26" s="28"/>
      <c r="AN26" s="29"/>
    </row>
    <row r="27" spans="2:40" s="1" customFormat="1" ht="33.75" customHeight="1">
      <c r="B27" s="14" t="s">
        <v>33</v>
      </c>
      <c r="C27" s="40" t="s">
        <v>34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2"/>
      <c r="U27" s="43" t="s">
        <v>26</v>
      </c>
      <c r="V27" s="44"/>
      <c r="W27" s="45">
        <v>37.49</v>
      </c>
      <c r="X27" s="46"/>
      <c r="Y27" s="47"/>
      <c r="Z27" s="48">
        <v>1120</v>
      </c>
      <c r="AA27" s="49"/>
      <c r="AB27" s="49"/>
      <c r="AC27" s="50"/>
      <c r="AD27" s="51">
        <f t="shared" si="0"/>
        <v>41988.800000000003</v>
      </c>
      <c r="AE27" s="52"/>
      <c r="AF27" s="52"/>
      <c r="AG27" s="52"/>
      <c r="AH27" s="53"/>
      <c r="AI27" s="28"/>
      <c r="AN27" s="29"/>
    </row>
    <row r="28" spans="2:40" s="1" customFormat="1" ht="34.5" customHeight="1">
      <c r="B28" s="14" t="s">
        <v>35</v>
      </c>
      <c r="C28" s="40" t="s">
        <v>36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2"/>
      <c r="U28" s="43" t="s">
        <v>37</v>
      </c>
      <c r="V28" s="44"/>
      <c r="W28" s="45">
        <v>52.86</v>
      </c>
      <c r="X28" s="46"/>
      <c r="Y28" s="47"/>
      <c r="Z28" s="48">
        <v>770</v>
      </c>
      <c r="AA28" s="49"/>
      <c r="AB28" s="49"/>
      <c r="AC28" s="50"/>
      <c r="AD28" s="51">
        <f t="shared" si="0"/>
        <v>40702.199999999997</v>
      </c>
      <c r="AE28" s="52"/>
      <c r="AF28" s="52"/>
      <c r="AG28" s="52"/>
      <c r="AH28" s="53"/>
      <c r="AI28" s="28"/>
      <c r="AN28" s="29"/>
    </row>
    <row r="29" spans="2:40" s="1" customFormat="1" ht="33" customHeight="1">
      <c r="B29" s="14" t="s">
        <v>38</v>
      </c>
      <c r="C29" s="40" t="s">
        <v>39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43" t="s">
        <v>37</v>
      </c>
      <c r="V29" s="44"/>
      <c r="W29" s="45">
        <v>300</v>
      </c>
      <c r="X29" s="46"/>
      <c r="Y29" s="47"/>
      <c r="Z29" s="48">
        <v>595</v>
      </c>
      <c r="AA29" s="49"/>
      <c r="AB29" s="49"/>
      <c r="AC29" s="50"/>
      <c r="AD29" s="51">
        <f t="shared" si="0"/>
        <v>178500</v>
      </c>
      <c r="AE29" s="52"/>
      <c r="AF29" s="52"/>
      <c r="AG29" s="52"/>
      <c r="AH29" s="53"/>
      <c r="AI29" s="28"/>
      <c r="AN29" s="29"/>
    </row>
    <row r="30" spans="2:40" s="1" customFormat="1" ht="33" customHeight="1">
      <c r="B30" s="14" t="s">
        <v>40</v>
      </c>
      <c r="C30" s="40" t="s">
        <v>41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  <c r="U30" s="43" t="s">
        <v>37</v>
      </c>
      <c r="V30" s="44"/>
      <c r="W30" s="45">
        <v>40</v>
      </c>
      <c r="X30" s="46"/>
      <c r="Y30" s="47"/>
      <c r="Z30" s="48">
        <v>735</v>
      </c>
      <c r="AA30" s="49"/>
      <c r="AB30" s="49"/>
      <c r="AC30" s="50"/>
      <c r="AD30" s="51">
        <f t="shared" si="0"/>
        <v>29400</v>
      </c>
      <c r="AE30" s="52"/>
      <c r="AF30" s="52"/>
      <c r="AG30" s="52"/>
      <c r="AH30" s="53"/>
      <c r="AI30" s="28"/>
      <c r="AN30" s="29"/>
    </row>
    <row r="31" spans="2:40" s="1" customFormat="1" ht="34.5" customHeight="1">
      <c r="B31" s="14" t="s">
        <v>42</v>
      </c>
      <c r="C31" s="40" t="s">
        <v>43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43" t="s">
        <v>37</v>
      </c>
      <c r="V31" s="44"/>
      <c r="W31" s="45">
        <v>518.79999999999995</v>
      </c>
      <c r="X31" s="46"/>
      <c r="Y31" s="47"/>
      <c r="Z31" s="48">
        <v>1610</v>
      </c>
      <c r="AA31" s="49"/>
      <c r="AB31" s="49"/>
      <c r="AC31" s="50"/>
      <c r="AD31" s="51">
        <f t="shared" si="0"/>
        <v>835267.99999999988</v>
      </c>
      <c r="AE31" s="52"/>
      <c r="AF31" s="52"/>
      <c r="AG31" s="52"/>
      <c r="AH31" s="53"/>
      <c r="AI31" s="28"/>
      <c r="AN31" s="29"/>
    </row>
    <row r="32" spans="2:40" s="2" customFormat="1" ht="24.75" customHeight="1">
      <c r="B32" s="14" t="s">
        <v>44</v>
      </c>
      <c r="C32" s="40" t="s">
        <v>45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  <c r="U32" s="43" t="s">
        <v>37</v>
      </c>
      <c r="V32" s="44"/>
      <c r="W32" s="45">
        <v>46.16</v>
      </c>
      <c r="X32" s="46"/>
      <c r="Y32" s="47"/>
      <c r="Z32" s="48">
        <v>840</v>
      </c>
      <c r="AA32" s="49"/>
      <c r="AB32" s="49"/>
      <c r="AC32" s="50"/>
      <c r="AD32" s="51">
        <f t="shared" si="0"/>
        <v>38774.399999999994</v>
      </c>
      <c r="AE32" s="52"/>
      <c r="AF32" s="52"/>
      <c r="AG32" s="52"/>
      <c r="AH32" s="53"/>
      <c r="AI32" s="28"/>
      <c r="AN32" s="29"/>
    </row>
    <row r="33" spans="2:40" s="2" customFormat="1" ht="24.75" customHeight="1">
      <c r="B33" s="14" t="s">
        <v>46</v>
      </c>
      <c r="C33" s="40" t="s">
        <v>47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U33" s="43" t="s">
        <v>37</v>
      </c>
      <c r="V33" s="44"/>
      <c r="W33" s="45">
        <v>3</v>
      </c>
      <c r="X33" s="46"/>
      <c r="Y33" s="47"/>
      <c r="Z33" s="48">
        <v>840</v>
      </c>
      <c r="AA33" s="49"/>
      <c r="AB33" s="49"/>
      <c r="AC33" s="50"/>
      <c r="AD33" s="51">
        <f t="shared" si="0"/>
        <v>2520</v>
      </c>
      <c r="AE33" s="52"/>
      <c r="AF33" s="52"/>
      <c r="AG33" s="52"/>
      <c r="AH33" s="53"/>
      <c r="AI33" s="28"/>
      <c r="AN33" s="29"/>
    </row>
    <row r="34" spans="2:40" s="2" customFormat="1" ht="24.75" customHeight="1">
      <c r="B34" s="14" t="s">
        <v>48</v>
      </c>
      <c r="C34" s="40" t="s">
        <v>49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  <c r="U34" s="43" t="s">
        <v>26</v>
      </c>
      <c r="V34" s="44"/>
      <c r="W34" s="45">
        <v>220</v>
      </c>
      <c r="X34" s="46"/>
      <c r="Y34" s="47"/>
      <c r="Z34" s="48">
        <v>420</v>
      </c>
      <c r="AA34" s="49"/>
      <c r="AB34" s="49"/>
      <c r="AC34" s="50"/>
      <c r="AD34" s="51">
        <f t="shared" si="0"/>
        <v>92400</v>
      </c>
      <c r="AE34" s="52"/>
      <c r="AF34" s="52"/>
      <c r="AG34" s="52"/>
      <c r="AH34" s="53"/>
      <c r="AI34" s="28"/>
      <c r="AN34" s="29"/>
    </row>
    <row r="35" spans="2:40" s="1" customFormat="1" ht="33" customHeight="1">
      <c r="B35" s="14" t="s">
        <v>50</v>
      </c>
      <c r="C35" s="40" t="s">
        <v>51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3" t="s">
        <v>26</v>
      </c>
      <c r="V35" s="44"/>
      <c r="W35" s="45">
        <v>1495</v>
      </c>
      <c r="X35" s="46"/>
      <c r="Y35" s="47"/>
      <c r="Z35" s="48">
        <v>840</v>
      </c>
      <c r="AA35" s="49"/>
      <c r="AB35" s="49"/>
      <c r="AC35" s="50"/>
      <c r="AD35" s="51">
        <f t="shared" si="0"/>
        <v>1255800</v>
      </c>
      <c r="AE35" s="52"/>
      <c r="AF35" s="52"/>
      <c r="AG35" s="52"/>
      <c r="AH35" s="53"/>
      <c r="AI35" s="28"/>
      <c r="AN35" s="29"/>
    </row>
    <row r="36" spans="2:40" s="1" customFormat="1" ht="35.25" customHeight="1">
      <c r="B36" s="14" t="s">
        <v>52</v>
      </c>
      <c r="C36" s="40" t="s">
        <v>53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  <c r="U36" s="43" t="s">
        <v>26</v>
      </c>
      <c r="V36" s="44"/>
      <c r="W36" s="45">
        <v>7.37</v>
      </c>
      <c r="X36" s="46"/>
      <c r="Y36" s="47"/>
      <c r="Z36" s="48">
        <v>1540</v>
      </c>
      <c r="AA36" s="49"/>
      <c r="AB36" s="49"/>
      <c r="AC36" s="50"/>
      <c r="AD36" s="51">
        <f t="shared" si="0"/>
        <v>11349.8</v>
      </c>
      <c r="AE36" s="52"/>
      <c r="AF36" s="52"/>
      <c r="AG36" s="52"/>
      <c r="AH36" s="53"/>
      <c r="AI36" s="28"/>
      <c r="AN36" s="29"/>
    </row>
    <row r="37" spans="2:40" s="1" customFormat="1" ht="33" customHeight="1">
      <c r="B37" s="14" t="s">
        <v>54</v>
      </c>
      <c r="C37" s="40" t="s">
        <v>55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U37" s="43" t="s">
        <v>26</v>
      </c>
      <c r="V37" s="44"/>
      <c r="W37" s="45">
        <v>38.9</v>
      </c>
      <c r="X37" s="46"/>
      <c r="Y37" s="47"/>
      <c r="Z37" s="48">
        <v>2660</v>
      </c>
      <c r="AA37" s="49"/>
      <c r="AB37" s="49"/>
      <c r="AC37" s="50"/>
      <c r="AD37" s="51">
        <f t="shared" si="0"/>
        <v>103474</v>
      </c>
      <c r="AE37" s="52"/>
      <c r="AF37" s="52"/>
      <c r="AG37" s="52"/>
      <c r="AH37" s="53"/>
      <c r="AI37" s="28"/>
      <c r="AN37" s="29"/>
    </row>
    <row r="38" spans="2:40" s="1" customFormat="1" ht="33" customHeight="1">
      <c r="B38" s="14" t="s">
        <v>56</v>
      </c>
      <c r="C38" s="40" t="s">
        <v>57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/>
      <c r="U38" s="43" t="s">
        <v>26</v>
      </c>
      <c r="V38" s="44"/>
      <c r="W38" s="45">
        <v>22.85</v>
      </c>
      <c r="X38" s="46"/>
      <c r="Y38" s="47"/>
      <c r="Z38" s="48">
        <v>1540</v>
      </c>
      <c r="AA38" s="49"/>
      <c r="AB38" s="49"/>
      <c r="AC38" s="50"/>
      <c r="AD38" s="51">
        <f t="shared" si="0"/>
        <v>35189</v>
      </c>
      <c r="AE38" s="52"/>
      <c r="AF38" s="52"/>
      <c r="AG38" s="52"/>
      <c r="AH38" s="53"/>
      <c r="AI38" s="28"/>
      <c r="AN38" s="29"/>
    </row>
    <row r="39" spans="2:40" s="1" customFormat="1" ht="33" customHeight="1">
      <c r="B39" s="14" t="s">
        <v>58</v>
      </c>
      <c r="C39" s="40" t="s">
        <v>59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43" t="s">
        <v>26</v>
      </c>
      <c r="V39" s="44"/>
      <c r="W39" s="45">
        <v>563</v>
      </c>
      <c r="X39" s="46"/>
      <c r="Y39" s="47"/>
      <c r="Z39" s="48">
        <v>2660</v>
      </c>
      <c r="AA39" s="49"/>
      <c r="AB39" s="49"/>
      <c r="AC39" s="50"/>
      <c r="AD39" s="51">
        <f t="shared" si="0"/>
        <v>1497580</v>
      </c>
      <c r="AE39" s="52"/>
      <c r="AF39" s="52"/>
      <c r="AG39" s="52"/>
      <c r="AH39" s="53"/>
      <c r="AI39" s="28"/>
      <c r="AN39" s="29"/>
    </row>
    <row r="40" spans="2:40" s="1" customFormat="1" ht="33" customHeight="1">
      <c r="B40" s="14" t="s">
        <v>60</v>
      </c>
      <c r="C40" s="40" t="s">
        <v>61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43" t="s">
        <v>37</v>
      </c>
      <c r="V40" s="44"/>
      <c r="W40" s="45">
        <v>311</v>
      </c>
      <c r="X40" s="46"/>
      <c r="Y40" s="47"/>
      <c r="Z40" s="48">
        <v>770</v>
      </c>
      <c r="AA40" s="49"/>
      <c r="AB40" s="49"/>
      <c r="AC40" s="50"/>
      <c r="AD40" s="51">
        <f t="shared" si="0"/>
        <v>239470</v>
      </c>
      <c r="AE40" s="52"/>
      <c r="AF40" s="52"/>
      <c r="AG40" s="52"/>
      <c r="AH40" s="53"/>
      <c r="AI40" s="28"/>
      <c r="AN40" s="29"/>
    </row>
    <row r="41" spans="2:40" s="1" customFormat="1" ht="33" customHeight="1">
      <c r="B41" s="14" t="s">
        <v>62</v>
      </c>
      <c r="C41" s="40" t="s">
        <v>63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U41" s="43" t="s">
        <v>26</v>
      </c>
      <c r="V41" s="44"/>
      <c r="W41" s="45">
        <v>84</v>
      </c>
      <c r="X41" s="46"/>
      <c r="Y41" s="47"/>
      <c r="Z41" s="48">
        <v>2660</v>
      </c>
      <c r="AA41" s="49"/>
      <c r="AB41" s="49"/>
      <c r="AC41" s="50"/>
      <c r="AD41" s="51">
        <f t="shared" si="0"/>
        <v>223440</v>
      </c>
      <c r="AE41" s="52"/>
      <c r="AF41" s="52"/>
      <c r="AG41" s="52"/>
      <c r="AH41" s="53"/>
      <c r="AI41" s="28"/>
      <c r="AN41" s="29"/>
    </row>
    <row r="42" spans="2:40" s="1" customFormat="1" ht="33" customHeight="1">
      <c r="B42" s="14" t="s">
        <v>64</v>
      </c>
      <c r="C42" s="40" t="s">
        <v>65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  <c r="U42" s="43" t="s">
        <v>37</v>
      </c>
      <c r="V42" s="44"/>
      <c r="W42" s="45">
        <v>30</v>
      </c>
      <c r="X42" s="46"/>
      <c r="Y42" s="47"/>
      <c r="Z42" s="48">
        <v>1995</v>
      </c>
      <c r="AA42" s="49"/>
      <c r="AB42" s="49"/>
      <c r="AC42" s="50"/>
      <c r="AD42" s="51">
        <f t="shared" si="0"/>
        <v>59850</v>
      </c>
      <c r="AE42" s="52"/>
      <c r="AF42" s="52"/>
      <c r="AG42" s="52"/>
      <c r="AH42" s="53"/>
      <c r="AI42" s="28"/>
      <c r="AN42" s="29"/>
    </row>
    <row r="43" spans="2:40" s="1" customFormat="1" ht="27" customHeight="1">
      <c r="B43" s="14" t="s">
        <v>66</v>
      </c>
      <c r="C43" s="40" t="s">
        <v>67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  <c r="U43" s="43" t="s">
        <v>68</v>
      </c>
      <c r="V43" s="44"/>
      <c r="W43" s="45">
        <v>3</v>
      </c>
      <c r="X43" s="46"/>
      <c r="Y43" s="47"/>
      <c r="Z43" s="48">
        <v>28000</v>
      </c>
      <c r="AA43" s="49"/>
      <c r="AB43" s="49"/>
      <c r="AC43" s="50"/>
      <c r="AD43" s="51">
        <f t="shared" si="0"/>
        <v>84000</v>
      </c>
      <c r="AE43" s="52"/>
      <c r="AF43" s="52"/>
      <c r="AG43" s="52"/>
      <c r="AH43" s="53"/>
      <c r="AI43" s="28"/>
      <c r="AN43" s="29"/>
    </row>
    <row r="44" spans="2:40" s="1" customFormat="1" ht="30" customHeight="1">
      <c r="B44" s="14" t="s">
        <v>69</v>
      </c>
      <c r="C44" s="40" t="s">
        <v>70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43" t="s">
        <v>68</v>
      </c>
      <c r="V44" s="44"/>
      <c r="W44" s="45">
        <v>4</v>
      </c>
      <c r="X44" s="46"/>
      <c r="Y44" s="47"/>
      <c r="Z44" s="48">
        <v>38500</v>
      </c>
      <c r="AA44" s="49"/>
      <c r="AB44" s="49"/>
      <c r="AC44" s="50"/>
      <c r="AD44" s="51">
        <f t="shared" si="0"/>
        <v>154000</v>
      </c>
      <c r="AE44" s="52"/>
      <c r="AF44" s="52"/>
      <c r="AG44" s="52"/>
      <c r="AH44" s="53"/>
      <c r="AI44" s="28"/>
      <c r="AN44" s="29"/>
    </row>
    <row r="45" spans="2:40" s="1" customFormat="1" ht="31.5" customHeight="1">
      <c r="B45" s="14" t="s">
        <v>71</v>
      </c>
      <c r="C45" s="40" t="s">
        <v>72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43" t="s">
        <v>68</v>
      </c>
      <c r="V45" s="44"/>
      <c r="W45" s="45">
        <v>1</v>
      </c>
      <c r="X45" s="46"/>
      <c r="Y45" s="47"/>
      <c r="Z45" s="48">
        <v>98000.05</v>
      </c>
      <c r="AA45" s="49"/>
      <c r="AB45" s="49"/>
      <c r="AC45" s="50"/>
      <c r="AD45" s="51">
        <f t="shared" si="0"/>
        <v>98000.05</v>
      </c>
      <c r="AE45" s="52"/>
      <c r="AF45" s="52"/>
      <c r="AG45" s="52"/>
      <c r="AH45" s="53"/>
      <c r="AI45" s="28"/>
      <c r="AN45" s="29"/>
    </row>
    <row r="46" spans="2:40" s="1" customFormat="1" ht="46.5" customHeight="1">
      <c r="B46" s="14" t="s">
        <v>73</v>
      </c>
      <c r="C46" s="40" t="s">
        <v>74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2"/>
      <c r="U46" s="43" t="s">
        <v>68</v>
      </c>
      <c r="V46" s="44"/>
      <c r="W46" s="45">
        <v>3</v>
      </c>
      <c r="X46" s="46"/>
      <c r="Y46" s="47"/>
      <c r="Z46" s="113">
        <v>77000</v>
      </c>
      <c r="AA46" s="114"/>
      <c r="AB46" s="114"/>
      <c r="AC46" s="115"/>
      <c r="AD46" s="51">
        <f t="shared" si="0"/>
        <v>231000</v>
      </c>
      <c r="AE46" s="52"/>
      <c r="AF46" s="52"/>
      <c r="AG46" s="52"/>
      <c r="AH46" s="53"/>
      <c r="AI46" s="28"/>
      <c r="AN46" s="29"/>
    </row>
    <row r="47" spans="2:40" s="1" customFormat="1" ht="34.5" customHeight="1">
      <c r="B47" s="14" t="s">
        <v>75</v>
      </c>
      <c r="C47" s="40" t="s">
        <v>76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2"/>
      <c r="U47" s="43" t="s">
        <v>68</v>
      </c>
      <c r="V47" s="44"/>
      <c r="W47" s="45">
        <v>4</v>
      </c>
      <c r="X47" s="46"/>
      <c r="Y47" s="47"/>
      <c r="Z47" s="113">
        <v>59500</v>
      </c>
      <c r="AA47" s="114"/>
      <c r="AB47" s="114"/>
      <c r="AC47" s="115"/>
      <c r="AD47" s="51">
        <f t="shared" si="0"/>
        <v>238000</v>
      </c>
      <c r="AE47" s="52"/>
      <c r="AF47" s="52"/>
      <c r="AG47" s="52"/>
      <c r="AH47" s="53"/>
      <c r="AI47" s="28"/>
      <c r="AN47" s="29"/>
    </row>
    <row r="48" spans="2:40" ht="31.5" customHeight="1">
      <c r="B48" s="14" t="s">
        <v>77</v>
      </c>
      <c r="C48" s="40" t="s">
        <v>78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2"/>
      <c r="U48" s="43" t="s">
        <v>68</v>
      </c>
      <c r="V48" s="44"/>
      <c r="W48" s="45">
        <v>21</v>
      </c>
      <c r="X48" s="46"/>
      <c r="Y48" s="47"/>
      <c r="Z48" s="113">
        <v>27300</v>
      </c>
      <c r="AA48" s="114"/>
      <c r="AB48" s="114"/>
      <c r="AC48" s="115"/>
      <c r="AD48" s="51">
        <f t="shared" si="0"/>
        <v>573300</v>
      </c>
      <c r="AE48" s="52"/>
      <c r="AF48" s="52"/>
      <c r="AG48" s="52"/>
      <c r="AH48" s="53"/>
      <c r="AI48" s="28"/>
      <c r="AN48" s="29"/>
    </row>
    <row r="49" spans="2:40" ht="31.5" customHeight="1">
      <c r="B49" s="14" t="s">
        <v>79</v>
      </c>
      <c r="C49" s="40" t="s">
        <v>80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2"/>
      <c r="U49" s="43" t="s">
        <v>68</v>
      </c>
      <c r="V49" s="44"/>
      <c r="W49" s="45">
        <v>1</v>
      </c>
      <c r="X49" s="46"/>
      <c r="Y49" s="47"/>
      <c r="Z49" s="113">
        <v>34650.01</v>
      </c>
      <c r="AA49" s="114"/>
      <c r="AB49" s="114"/>
      <c r="AC49" s="115"/>
      <c r="AD49" s="51">
        <f t="shared" si="0"/>
        <v>34650.01</v>
      </c>
      <c r="AE49" s="52"/>
      <c r="AF49" s="52"/>
      <c r="AG49" s="52"/>
      <c r="AH49" s="53"/>
      <c r="AI49" s="28"/>
      <c r="AN49" s="29"/>
    </row>
    <row r="50" spans="2:40" ht="34.5" customHeight="1">
      <c r="B50" s="14" t="s">
        <v>81</v>
      </c>
      <c r="C50" s="40" t="s">
        <v>82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2"/>
      <c r="U50" s="43" t="s">
        <v>68</v>
      </c>
      <c r="V50" s="44"/>
      <c r="W50" s="45">
        <v>4</v>
      </c>
      <c r="X50" s="46"/>
      <c r="Y50" s="47"/>
      <c r="Z50" s="113">
        <v>7000</v>
      </c>
      <c r="AA50" s="114"/>
      <c r="AB50" s="114"/>
      <c r="AC50" s="115"/>
      <c r="AD50" s="51">
        <f t="shared" si="0"/>
        <v>28000</v>
      </c>
      <c r="AE50" s="52"/>
      <c r="AF50" s="52"/>
      <c r="AG50" s="52"/>
      <c r="AH50" s="53"/>
      <c r="AI50" s="28"/>
      <c r="AN50" s="29"/>
    </row>
    <row r="51" spans="2:40" ht="31.5" customHeight="1">
      <c r="B51" s="14" t="s">
        <v>83</v>
      </c>
      <c r="C51" s="40" t="s">
        <v>84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2"/>
      <c r="U51" s="43" t="s">
        <v>68</v>
      </c>
      <c r="V51" s="44"/>
      <c r="W51" s="45">
        <v>3</v>
      </c>
      <c r="X51" s="46"/>
      <c r="Y51" s="47"/>
      <c r="Z51" s="113">
        <v>32900</v>
      </c>
      <c r="AA51" s="114"/>
      <c r="AB51" s="114"/>
      <c r="AC51" s="115"/>
      <c r="AD51" s="51">
        <f t="shared" si="0"/>
        <v>98700</v>
      </c>
      <c r="AE51" s="52"/>
      <c r="AF51" s="52"/>
      <c r="AG51" s="52"/>
      <c r="AH51" s="53"/>
      <c r="AI51" s="28"/>
      <c r="AN51" s="29"/>
    </row>
    <row r="52" spans="2:40" s="1" customFormat="1" ht="34.5" customHeight="1">
      <c r="B52" s="14" t="s">
        <v>85</v>
      </c>
      <c r="C52" s="40" t="s">
        <v>86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2"/>
      <c r="U52" s="43" t="s">
        <v>68</v>
      </c>
      <c r="V52" s="44"/>
      <c r="W52" s="45">
        <v>2</v>
      </c>
      <c r="X52" s="46"/>
      <c r="Y52" s="47"/>
      <c r="Z52" s="113">
        <v>33600</v>
      </c>
      <c r="AA52" s="114"/>
      <c r="AB52" s="114"/>
      <c r="AC52" s="115"/>
      <c r="AD52" s="51">
        <f t="shared" si="0"/>
        <v>67200</v>
      </c>
      <c r="AE52" s="52"/>
      <c r="AF52" s="52"/>
      <c r="AG52" s="52"/>
      <c r="AH52" s="53"/>
      <c r="AI52" s="28"/>
      <c r="AN52" s="29"/>
    </row>
    <row r="53" spans="2:40" s="1" customFormat="1" ht="34.5" customHeight="1">
      <c r="B53" s="14" t="s">
        <v>87</v>
      </c>
      <c r="C53" s="40" t="s">
        <v>88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2"/>
      <c r="U53" s="43" t="s">
        <v>68</v>
      </c>
      <c r="V53" s="44"/>
      <c r="W53" s="45">
        <v>2</v>
      </c>
      <c r="X53" s="46"/>
      <c r="Y53" s="47"/>
      <c r="Z53" s="113">
        <v>30100</v>
      </c>
      <c r="AA53" s="114"/>
      <c r="AB53" s="114"/>
      <c r="AC53" s="115"/>
      <c r="AD53" s="51">
        <f t="shared" si="0"/>
        <v>60200</v>
      </c>
      <c r="AE53" s="52"/>
      <c r="AF53" s="52"/>
      <c r="AG53" s="52"/>
      <c r="AH53" s="53"/>
      <c r="AI53" s="28"/>
      <c r="AN53" s="29"/>
    </row>
    <row r="54" spans="2:40" s="1" customFormat="1" ht="34.5" customHeight="1">
      <c r="B54" s="14" t="s">
        <v>89</v>
      </c>
      <c r="C54" s="40" t="s">
        <v>90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2"/>
      <c r="U54" s="43" t="s">
        <v>68</v>
      </c>
      <c r="V54" s="44"/>
      <c r="W54" s="45">
        <v>2</v>
      </c>
      <c r="X54" s="46"/>
      <c r="Y54" s="47"/>
      <c r="Z54" s="113">
        <v>27300</v>
      </c>
      <c r="AA54" s="114"/>
      <c r="AB54" s="114"/>
      <c r="AC54" s="115"/>
      <c r="AD54" s="51">
        <f t="shared" si="0"/>
        <v>54600</v>
      </c>
      <c r="AE54" s="52"/>
      <c r="AF54" s="52"/>
      <c r="AG54" s="52"/>
      <c r="AH54" s="53"/>
      <c r="AI54" s="28"/>
      <c r="AN54" s="29"/>
    </row>
    <row r="55" spans="2:40" s="1" customFormat="1" ht="34.5" customHeight="1">
      <c r="B55" s="14" t="s">
        <v>91</v>
      </c>
      <c r="C55" s="40" t="s">
        <v>92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2"/>
      <c r="U55" s="43" t="s">
        <v>68</v>
      </c>
      <c r="V55" s="44"/>
      <c r="W55" s="45">
        <v>1</v>
      </c>
      <c r="X55" s="46"/>
      <c r="Y55" s="47"/>
      <c r="Z55" s="113">
        <v>38500</v>
      </c>
      <c r="AA55" s="114"/>
      <c r="AB55" s="114"/>
      <c r="AC55" s="115"/>
      <c r="AD55" s="51">
        <f t="shared" si="0"/>
        <v>38500</v>
      </c>
      <c r="AE55" s="52"/>
      <c r="AF55" s="52"/>
      <c r="AG55" s="52"/>
      <c r="AH55" s="53"/>
      <c r="AI55" s="28"/>
      <c r="AN55" s="29"/>
    </row>
    <row r="56" spans="2:40" s="1" customFormat="1" ht="43.5" customHeight="1">
      <c r="B56" s="14" t="s">
        <v>93</v>
      </c>
      <c r="C56" s="40" t="s">
        <v>94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2"/>
      <c r="U56" s="43" t="s">
        <v>68</v>
      </c>
      <c r="V56" s="44"/>
      <c r="W56" s="45">
        <v>1</v>
      </c>
      <c r="X56" s="46"/>
      <c r="Y56" s="47"/>
      <c r="Z56" s="113">
        <v>14000</v>
      </c>
      <c r="AA56" s="114"/>
      <c r="AB56" s="114"/>
      <c r="AC56" s="115"/>
      <c r="AD56" s="51">
        <f t="shared" si="0"/>
        <v>14000</v>
      </c>
      <c r="AE56" s="52"/>
      <c r="AF56" s="52"/>
      <c r="AG56" s="52"/>
      <c r="AH56" s="53"/>
      <c r="AI56" s="28"/>
      <c r="AN56" s="29"/>
    </row>
    <row r="57" spans="2:40" s="1" customFormat="1" ht="34.5" customHeight="1">
      <c r="B57" s="14" t="s">
        <v>95</v>
      </c>
      <c r="C57" s="40" t="s">
        <v>96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2"/>
      <c r="U57" s="43" t="s">
        <v>68</v>
      </c>
      <c r="V57" s="44"/>
      <c r="W57" s="45">
        <v>2</v>
      </c>
      <c r="X57" s="46"/>
      <c r="Y57" s="47"/>
      <c r="Z57" s="113">
        <v>21000</v>
      </c>
      <c r="AA57" s="114"/>
      <c r="AB57" s="114"/>
      <c r="AC57" s="115"/>
      <c r="AD57" s="51">
        <f t="shared" si="0"/>
        <v>42000</v>
      </c>
      <c r="AE57" s="52"/>
      <c r="AF57" s="52"/>
      <c r="AG57" s="52"/>
      <c r="AH57" s="53"/>
      <c r="AI57" s="28"/>
      <c r="AN57" s="29"/>
    </row>
    <row r="58" spans="2:40" s="1" customFormat="1" ht="34.5" customHeight="1">
      <c r="B58" s="14" t="s">
        <v>97</v>
      </c>
      <c r="C58" s="40" t="s">
        <v>98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2"/>
      <c r="U58" s="43" t="s">
        <v>68</v>
      </c>
      <c r="V58" s="44"/>
      <c r="W58" s="45">
        <v>1</v>
      </c>
      <c r="X58" s="46"/>
      <c r="Y58" s="47"/>
      <c r="Z58" s="113">
        <v>34300</v>
      </c>
      <c r="AA58" s="114"/>
      <c r="AB58" s="114"/>
      <c r="AC58" s="115"/>
      <c r="AD58" s="51">
        <f t="shared" si="0"/>
        <v>34300</v>
      </c>
      <c r="AE58" s="52"/>
      <c r="AF58" s="52"/>
      <c r="AG58" s="52"/>
      <c r="AH58" s="53"/>
      <c r="AI58" s="28"/>
      <c r="AN58" s="29"/>
    </row>
    <row r="59" spans="2:40" s="1" customFormat="1" ht="34.5" customHeight="1">
      <c r="B59" s="14" t="s">
        <v>99</v>
      </c>
      <c r="C59" s="40" t="s">
        <v>100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2"/>
      <c r="U59" s="43" t="s">
        <v>68</v>
      </c>
      <c r="V59" s="44"/>
      <c r="W59" s="45">
        <v>2</v>
      </c>
      <c r="X59" s="46"/>
      <c r="Y59" s="47"/>
      <c r="Z59" s="113">
        <v>45500</v>
      </c>
      <c r="AA59" s="114"/>
      <c r="AB59" s="114"/>
      <c r="AC59" s="115"/>
      <c r="AD59" s="51">
        <f t="shared" si="0"/>
        <v>91000</v>
      </c>
      <c r="AE59" s="52"/>
      <c r="AF59" s="52"/>
      <c r="AG59" s="52"/>
      <c r="AH59" s="53"/>
      <c r="AI59" s="28"/>
      <c r="AN59" s="29"/>
    </row>
    <row r="60" spans="2:40" s="1" customFormat="1" ht="34.5" customHeight="1">
      <c r="B60" s="14" t="s">
        <v>101</v>
      </c>
      <c r="C60" s="40" t="s">
        <v>102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2"/>
      <c r="U60" s="43" t="s">
        <v>68</v>
      </c>
      <c r="V60" s="44"/>
      <c r="W60" s="45">
        <v>1</v>
      </c>
      <c r="X60" s="46"/>
      <c r="Y60" s="47"/>
      <c r="Z60" s="113">
        <v>42000</v>
      </c>
      <c r="AA60" s="114"/>
      <c r="AB60" s="114"/>
      <c r="AC60" s="115"/>
      <c r="AD60" s="51">
        <f t="shared" si="0"/>
        <v>42000</v>
      </c>
      <c r="AE60" s="52"/>
      <c r="AF60" s="52"/>
      <c r="AG60" s="52"/>
      <c r="AH60" s="53"/>
      <c r="AI60" s="28"/>
      <c r="AN60" s="29"/>
    </row>
    <row r="61" spans="2:40" ht="34.5" customHeight="1">
      <c r="B61" s="14" t="s">
        <v>103</v>
      </c>
      <c r="C61" s="40" t="s">
        <v>104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2"/>
      <c r="U61" s="43" t="s">
        <v>68</v>
      </c>
      <c r="V61" s="44"/>
      <c r="W61" s="45">
        <v>4</v>
      </c>
      <c r="X61" s="46"/>
      <c r="Y61" s="47"/>
      <c r="Z61" s="113">
        <v>10500</v>
      </c>
      <c r="AA61" s="114"/>
      <c r="AB61" s="114"/>
      <c r="AC61" s="115"/>
      <c r="AD61" s="51">
        <f t="shared" si="0"/>
        <v>42000</v>
      </c>
      <c r="AE61" s="52"/>
      <c r="AF61" s="52"/>
      <c r="AG61" s="52"/>
      <c r="AH61" s="53"/>
      <c r="AI61" s="28"/>
      <c r="AN61" s="29"/>
    </row>
    <row r="62" spans="2:40" s="1" customFormat="1" ht="34.5" customHeight="1">
      <c r="B62" s="14" t="s">
        <v>105</v>
      </c>
      <c r="C62" s="40" t="s">
        <v>106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2"/>
      <c r="U62" s="43" t="s">
        <v>68</v>
      </c>
      <c r="V62" s="44"/>
      <c r="W62" s="45">
        <v>2</v>
      </c>
      <c r="X62" s="46"/>
      <c r="Y62" s="47"/>
      <c r="Z62" s="113">
        <v>31500</v>
      </c>
      <c r="AA62" s="114"/>
      <c r="AB62" s="114"/>
      <c r="AC62" s="115"/>
      <c r="AD62" s="51">
        <f t="shared" si="0"/>
        <v>63000</v>
      </c>
      <c r="AE62" s="52"/>
      <c r="AF62" s="52"/>
      <c r="AG62" s="52"/>
      <c r="AH62" s="53"/>
      <c r="AI62" s="28"/>
      <c r="AN62" s="29"/>
    </row>
    <row r="63" spans="2:40" s="1" customFormat="1" ht="34.5" customHeight="1">
      <c r="B63" s="14" t="s">
        <v>107</v>
      </c>
      <c r="C63" s="40" t="s">
        <v>108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2"/>
      <c r="U63" s="43" t="s">
        <v>68</v>
      </c>
      <c r="V63" s="44"/>
      <c r="W63" s="45">
        <v>1</v>
      </c>
      <c r="X63" s="46"/>
      <c r="Y63" s="47"/>
      <c r="Z63" s="113">
        <v>24500</v>
      </c>
      <c r="AA63" s="114"/>
      <c r="AB63" s="114"/>
      <c r="AC63" s="115"/>
      <c r="AD63" s="51">
        <f t="shared" si="0"/>
        <v>24500</v>
      </c>
      <c r="AE63" s="52"/>
      <c r="AF63" s="52"/>
      <c r="AG63" s="52"/>
      <c r="AH63" s="53"/>
      <c r="AI63" s="28"/>
      <c r="AN63" s="29"/>
    </row>
    <row r="64" spans="2:40" s="1" customFormat="1" ht="32.25" customHeight="1">
      <c r="B64" s="14" t="s">
        <v>109</v>
      </c>
      <c r="C64" s="40" t="s">
        <v>110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2"/>
      <c r="U64" s="43" t="s">
        <v>68</v>
      </c>
      <c r="V64" s="44"/>
      <c r="W64" s="45">
        <v>3</v>
      </c>
      <c r="X64" s="46"/>
      <c r="Y64" s="47"/>
      <c r="Z64" s="113">
        <v>58800</v>
      </c>
      <c r="AA64" s="114"/>
      <c r="AB64" s="114"/>
      <c r="AC64" s="115"/>
      <c r="AD64" s="51">
        <f t="shared" si="0"/>
        <v>176400</v>
      </c>
      <c r="AE64" s="52"/>
      <c r="AF64" s="52"/>
      <c r="AG64" s="52"/>
      <c r="AH64" s="53"/>
      <c r="AI64" s="28"/>
      <c r="AN64" s="29"/>
    </row>
    <row r="65" spans="2:40" s="1" customFormat="1" ht="39" customHeight="1">
      <c r="B65" s="14" t="s">
        <v>111</v>
      </c>
      <c r="C65" s="40" t="s">
        <v>112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2"/>
      <c r="U65" s="43" t="s">
        <v>68</v>
      </c>
      <c r="V65" s="44"/>
      <c r="W65" s="45">
        <v>2</v>
      </c>
      <c r="X65" s="46"/>
      <c r="Y65" s="47"/>
      <c r="Z65" s="113">
        <v>53200</v>
      </c>
      <c r="AA65" s="114"/>
      <c r="AB65" s="114"/>
      <c r="AC65" s="115"/>
      <c r="AD65" s="51">
        <f t="shared" si="0"/>
        <v>106400</v>
      </c>
      <c r="AE65" s="52"/>
      <c r="AF65" s="52"/>
      <c r="AG65" s="52"/>
      <c r="AH65" s="53"/>
      <c r="AI65" s="28"/>
      <c r="AN65" s="29"/>
    </row>
    <row r="66" spans="2:40" s="1" customFormat="1" ht="40.5" customHeight="1">
      <c r="B66" s="14" t="s">
        <v>113</v>
      </c>
      <c r="C66" s="40" t="s">
        <v>114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2"/>
      <c r="U66" s="43" t="s">
        <v>68</v>
      </c>
      <c r="V66" s="44"/>
      <c r="W66" s="45">
        <v>1</v>
      </c>
      <c r="X66" s="46"/>
      <c r="Y66" s="47"/>
      <c r="Z66" s="113">
        <v>39900</v>
      </c>
      <c r="AA66" s="114"/>
      <c r="AB66" s="114"/>
      <c r="AC66" s="115"/>
      <c r="AD66" s="51">
        <f t="shared" si="0"/>
        <v>39900</v>
      </c>
      <c r="AE66" s="52"/>
      <c r="AF66" s="52"/>
      <c r="AG66" s="52"/>
      <c r="AH66" s="53"/>
      <c r="AI66" s="28"/>
      <c r="AN66" s="29"/>
    </row>
    <row r="67" spans="2:40" s="1" customFormat="1" ht="38.25" customHeight="1">
      <c r="B67" s="14" t="s">
        <v>115</v>
      </c>
      <c r="C67" s="40" t="s">
        <v>116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2"/>
      <c r="U67" s="43" t="s">
        <v>68</v>
      </c>
      <c r="V67" s="44"/>
      <c r="W67" s="45">
        <v>2</v>
      </c>
      <c r="X67" s="46"/>
      <c r="Y67" s="47"/>
      <c r="Z67" s="113">
        <v>45500</v>
      </c>
      <c r="AA67" s="114"/>
      <c r="AB67" s="114"/>
      <c r="AC67" s="115"/>
      <c r="AD67" s="51">
        <f t="shared" si="0"/>
        <v>91000</v>
      </c>
      <c r="AE67" s="52"/>
      <c r="AF67" s="52"/>
      <c r="AG67" s="52"/>
      <c r="AH67" s="53"/>
      <c r="AI67" s="28"/>
      <c r="AN67" s="29"/>
    </row>
    <row r="68" spans="2:40" s="1" customFormat="1" ht="40.5" customHeight="1">
      <c r="B68" s="14" t="s">
        <v>117</v>
      </c>
      <c r="C68" s="40" t="s">
        <v>118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2"/>
      <c r="U68" s="43" t="s">
        <v>68</v>
      </c>
      <c r="V68" s="44"/>
      <c r="W68" s="45">
        <v>1</v>
      </c>
      <c r="X68" s="46"/>
      <c r="Y68" s="47"/>
      <c r="Z68" s="113">
        <v>46900</v>
      </c>
      <c r="AA68" s="114"/>
      <c r="AB68" s="114"/>
      <c r="AC68" s="115"/>
      <c r="AD68" s="51">
        <f t="shared" si="0"/>
        <v>46900</v>
      </c>
      <c r="AE68" s="52"/>
      <c r="AF68" s="52"/>
      <c r="AG68" s="52"/>
      <c r="AH68" s="53"/>
      <c r="AI68" s="28"/>
      <c r="AN68" s="29"/>
    </row>
    <row r="69" spans="2:40" s="1" customFormat="1" ht="42.75" customHeight="1">
      <c r="B69" s="14" t="s">
        <v>119</v>
      </c>
      <c r="C69" s="40" t="s">
        <v>120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2"/>
      <c r="U69" s="43" t="s">
        <v>68</v>
      </c>
      <c r="V69" s="44"/>
      <c r="W69" s="45">
        <v>1</v>
      </c>
      <c r="X69" s="46"/>
      <c r="Y69" s="47"/>
      <c r="Z69" s="113">
        <v>105000</v>
      </c>
      <c r="AA69" s="114"/>
      <c r="AB69" s="114"/>
      <c r="AC69" s="115"/>
      <c r="AD69" s="51">
        <f t="shared" si="0"/>
        <v>105000</v>
      </c>
      <c r="AE69" s="52"/>
      <c r="AF69" s="52"/>
      <c r="AG69" s="52"/>
      <c r="AH69" s="53"/>
      <c r="AI69" s="28"/>
      <c r="AN69" s="29"/>
    </row>
    <row r="70" spans="2:40" s="1" customFormat="1" ht="42.75" customHeight="1">
      <c r="B70" s="14" t="s">
        <v>121</v>
      </c>
      <c r="C70" s="40" t="s">
        <v>122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2"/>
      <c r="U70" s="43" t="s">
        <v>68</v>
      </c>
      <c r="V70" s="44"/>
      <c r="W70" s="45">
        <v>2</v>
      </c>
      <c r="X70" s="46"/>
      <c r="Y70" s="47"/>
      <c r="Z70" s="113">
        <v>14000</v>
      </c>
      <c r="AA70" s="114"/>
      <c r="AB70" s="114"/>
      <c r="AC70" s="115"/>
      <c r="AD70" s="51">
        <f t="shared" si="0"/>
        <v>28000</v>
      </c>
      <c r="AE70" s="52"/>
      <c r="AF70" s="52"/>
      <c r="AG70" s="52"/>
      <c r="AH70" s="53"/>
      <c r="AI70" s="28"/>
      <c r="AN70" s="29"/>
    </row>
    <row r="71" spans="2:40" s="1" customFormat="1" ht="28.5" customHeight="1">
      <c r="B71" s="14" t="s">
        <v>123</v>
      </c>
      <c r="C71" s="40" t="s">
        <v>124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2"/>
      <c r="U71" s="43" t="s">
        <v>68</v>
      </c>
      <c r="V71" s="44"/>
      <c r="W71" s="45">
        <v>11</v>
      </c>
      <c r="X71" s="46"/>
      <c r="Y71" s="47"/>
      <c r="Z71" s="113">
        <v>9450</v>
      </c>
      <c r="AA71" s="114"/>
      <c r="AB71" s="114"/>
      <c r="AC71" s="115"/>
      <c r="AD71" s="51">
        <f t="shared" si="0"/>
        <v>103950</v>
      </c>
      <c r="AE71" s="52"/>
      <c r="AF71" s="52"/>
      <c r="AG71" s="52"/>
      <c r="AH71" s="53"/>
      <c r="AI71" s="28"/>
      <c r="AN71" s="29"/>
    </row>
    <row r="72" spans="2:40" s="1" customFormat="1" ht="28.5" customHeight="1">
      <c r="B72" s="14" t="s">
        <v>125</v>
      </c>
      <c r="C72" s="40" t="s">
        <v>126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2"/>
      <c r="U72" s="43" t="s">
        <v>68</v>
      </c>
      <c r="V72" s="44"/>
      <c r="W72" s="45">
        <v>1</v>
      </c>
      <c r="X72" s="46"/>
      <c r="Y72" s="47"/>
      <c r="Z72" s="113">
        <v>6300</v>
      </c>
      <c r="AA72" s="114"/>
      <c r="AB72" s="114"/>
      <c r="AC72" s="115"/>
      <c r="AD72" s="51">
        <f t="shared" si="0"/>
        <v>6300</v>
      </c>
      <c r="AE72" s="52"/>
      <c r="AF72" s="52"/>
      <c r="AG72" s="52"/>
      <c r="AH72" s="53"/>
      <c r="AI72" s="28"/>
      <c r="AN72" s="29"/>
    </row>
    <row r="73" spans="2:40" s="1" customFormat="1" ht="28.5" customHeight="1">
      <c r="B73" s="14" t="s">
        <v>127</v>
      </c>
      <c r="C73" s="40" t="s">
        <v>128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2"/>
      <c r="U73" s="43" t="s">
        <v>68</v>
      </c>
      <c r="V73" s="44"/>
      <c r="W73" s="45">
        <v>2</v>
      </c>
      <c r="X73" s="46"/>
      <c r="Y73" s="47"/>
      <c r="Z73" s="113">
        <v>5250</v>
      </c>
      <c r="AA73" s="114"/>
      <c r="AB73" s="114"/>
      <c r="AC73" s="115"/>
      <c r="AD73" s="51">
        <f t="shared" si="0"/>
        <v>10500</v>
      </c>
      <c r="AE73" s="52"/>
      <c r="AF73" s="52"/>
      <c r="AG73" s="52"/>
      <c r="AH73" s="53"/>
      <c r="AI73" s="28"/>
      <c r="AN73" s="29"/>
    </row>
    <row r="74" spans="2:40" s="1" customFormat="1" ht="28.5" customHeight="1">
      <c r="B74" s="14" t="s">
        <v>129</v>
      </c>
      <c r="C74" s="40" t="s">
        <v>130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2"/>
      <c r="U74" s="43" t="s">
        <v>131</v>
      </c>
      <c r="V74" s="44"/>
      <c r="W74" s="45">
        <v>1</v>
      </c>
      <c r="X74" s="46"/>
      <c r="Y74" s="47"/>
      <c r="Z74" s="113">
        <v>70000</v>
      </c>
      <c r="AA74" s="114"/>
      <c r="AB74" s="114"/>
      <c r="AC74" s="115"/>
      <c r="AD74" s="51">
        <f t="shared" si="0"/>
        <v>70000</v>
      </c>
      <c r="AE74" s="52"/>
      <c r="AF74" s="52"/>
      <c r="AG74" s="52"/>
      <c r="AH74" s="53"/>
      <c r="AI74" s="28"/>
      <c r="AN74" s="29"/>
    </row>
    <row r="75" spans="2:40" s="1" customFormat="1" ht="40.5" customHeight="1">
      <c r="B75" s="14" t="s">
        <v>132</v>
      </c>
      <c r="C75" s="82" t="s">
        <v>133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4"/>
      <c r="U75" s="85" t="s">
        <v>26</v>
      </c>
      <c r="V75" s="86"/>
      <c r="W75" s="87">
        <v>32.6</v>
      </c>
      <c r="X75" s="88"/>
      <c r="Y75" s="89"/>
      <c r="Z75" s="90">
        <v>3850</v>
      </c>
      <c r="AA75" s="91"/>
      <c r="AB75" s="91"/>
      <c r="AC75" s="92"/>
      <c r="AD75" s="93">
        <f t="shared" si="0"/>
        <v>125510</v>
      </c>
      <c r="AE75" s="94"/>
      <c r="AF75" s="94"/>
      <c r="AG75" s="94"/>
      <c r="AH75" s="95"/>
      <c r="AI75" s="28"/>
      <c r="AN75" s="29"/>
    </row>
    <row r="76" spans="2:40" s="3" customFormat="1" ht="22.5" customHeight="1"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36"/>
      <c r="Z76" s="117" t="s">
        <v>134</v>
      </c>
      <c r="AA76" s="118"/>
      <c r="AB76" s="118"/>
      <c r="AC76" s="119"/>
      <c r="AD76" s="120">
        <f>SUM(AD23:AH75)</f>
        <v>9956221.5099999998</v>
      </c>
      <c r="AE76" s="121"/>
      <c r="AF76" s="121"/>
      <c r="AG76" s="121"/>
      <c r="AH76" s="122"/>
    </row>
    <row r="77" spans="2:40" s="3" customFormat="1" ht="22.5" customHeight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6"/>
      <c r="Z77" s="117" t="s">
        <v>135</v>
      </c>
      <c r="AA77" s="118"/>
      <c r="AB77" s="118"/>
      <c r="AC77" s="119"/>
      <c r="AD77" s="120">
        <f>+AD76*2%</f>
        <v>199124.4302</v>
      </c>
      <c r="AE77" s="121"/>
      <c r="AF77" s="121"/>
      <c r="AG77" s="121"/>
      <c r="AH77" s="122"/>
    </row>
    <row r="78" spans="2:40" s="3" customFormat="1" ht="22.5" customHeigh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6"/>
      <c r="Z78" s="117" t="s">
        <v>134</v>
      </c>
      <c r="AA78" s="118"/>
      <c r="AB78" s="118"/>
      <c r="AC78" s="119"/>
      <c r="AD78" s="120">
        <f>+AD76-AD77</f>
        <v>9757097.0798000004</v>
      </c>
      <c r="AE78" s="121"/>
      <c r="AF78" s="121"/>
      <c r="AG78" s="121"/>
      <c r="AH78" s="122"/>
    </row>
    <row r="79" spans="2:40" s="3" customFormat="1" ht="22.5" customHeight="1">
      <c r="B79" s="133" t="s">
        <v>136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33"/>
      <c r="Y79" s="33"/>
      <c r="Z79" s="135" t="s">
        <v>137</v>
      </c>
      <c r="AA79" s="136"/>
      <c r="AB79" s="136"/>
      <c r="AC79" s="137"/>
      <c r="AD79" s="138">
        <v>1853848.43</v>
      </c>
      <c r="AE79" s="139"/>
      <c r="AF79" s="139"/>
      <c r="AG79" s="139"/>
      <c r="AH79" s="140"/>
    </row>
    <row r="80" spans="2:40" s="3" customFormat="1" ht="35.25" customHeight="1">
      <c r="B80" s="123" t="s">
        <v>143</v>
      </c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33"/>
      <c r="Y80" s="33"/>
      <c r="Z80" s="124" t="s">
        <v>138</v>
      </c>
      <c r="AA80" s="125"/>
      <c r="AB80" s="125"/>
      <c r="AC80" s="126"/>
      <c r="AD80" s="127">
        <f>+AD79+AD78</f>
        <v>11610945.5098</v>
      </c>
      <c r="AE80" s="128"/>
      <c r="AF80" s="128"/>
      <c r="AG80" s="128"/>
      <c r="AH80" s="129"/>
    </row>
    <row r="81" spans="2:47" s="3" customFormat="1" ht="22.5" customHeight="1">
      <c r="B81" s="130" t="s">
        <v>139</v>
      </c>
      <c r="C81" s="130"/>
      <c r="D81" s="130"/>
      <c r="E81" s="130"/>
      <c r="F81" s="130"/>
      <c r="G81" s="130"/>
      <c r="H81" s="131"/>
      <c r="I81" s="131"/>
      <c r="J81" s="131"/>
      <c r="K81" s="131"/>
      <c r="L81" s="131"/>
      <c r="M81" s="131"/>
      <c r="N81" s="131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7"/>
      <c r="AA81" s="37"/>
      <c r="AB81" s="37"/>
      <c r="AC81" s="37"/>
      <c r="AD81" s="38"/>
      <c r="AE81" s="38"/>
      <c r="AF81" s="38"/>
      <c r="AG81" s="38"/>
      <c r="AH81" s="38"/>
    </row>
    <row r="82" spans="2:47"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32"/>
      <c r="S82" s="3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2:47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2"/>
      <c r="M83" s="32"/>
      <c r="N83" s="32"/>
      <c r="O83" s="32"/>
      <c r="P83" s="32"/>
      <c r="Q83" s="32"/>
      <c r="R83" s="32"/>
      <c r="S83" s="32"/>
      <c r="T83" s="31"/>
      <c r="U83" s="31"/>
      <c r="V83" s="31"/>
      <c r="W83" s="31"/>
      <c r="X83" s="31"/>
      <c r="Y83" s="31"/>
      <c r="Z83" s="31"/>
      <c r="AA83" s="31"/>
      <c r="AB83" s="32"/>
      <c r="AC83" s="32"/>
      <c r="AD83" s="32"/>
      <c r="AE83" s="32"/>
      <c r="AF83" s="32"/>
      <c r="AG83" s="32"/>
      <c r="AH83" s="3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2:47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2"/>
      <c r="M84" s="32"/>
      <c r="N84" s="32"/>
      <c r="O84" s="32"/>
      <c r="P84" s="32"/>
      <c r="Q84" s="32"/>
      <c r="R84" s="32"/>
      <c r="S84" s="32"/>
      <c r="T84" s="34" t="s">
        <v>140</v>
      </c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9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2:47" ht="15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2"/>
      <c r="M85" s="32"/>
      <c r="N85" s="32"/>
      <c r="O85" s="32"/>
      <c r="P85" s="32"/>
      <c r="Q85" s="32"/>
      <c r="R85" s="32"/>
      <c r="S85" s="32"/>
      <c r="T85" s="35" t="s">
        <v>141</v>
      </c>
      <c r="U85" s="35"/>
      <c r="V85" s="35"/>
      <c r="W85" s="35"/>
      <c r="X85" s="35"/>
      <c r="Y85" s="35"/>
      <c r="Z85" s="35"/>
      <c r="AA85" s="35"/>
      <c r="AB85" s="6"/>
      <c r="AC85" s="6"/>
      <c r="AD85" s="6"/>
      <c r="AE85" s="6"/>
      <c r="AF85" s="6"/>
      <c r="AG85" s="6"/>
      <c r="AH85" s="3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2:47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2"/>
      <c r="M86" s="32"/>
      <c r="N86" s="32"/>
      <c r="O86" s="32"/>
      <c r="P86" s="32"/>
      <c r="Q86" s="32"/>
      <c r="R86" s="32"/>
      <c r="S86" s="32"/>
      <c r="T86" s="31"/>
      <c r="U86" s="31"/>
      <c r="V86" s="31"/>
      <c r="W86" s="31"/>
      <c r="X86" s="31"/>
      <c r="Y86" s="31"/>
      <c r="Z86" s="31"/>
      <c r="AA86" s="31"/>
      <c r="AB86" s="32"/>
      <c r="AC86" s="32"/>
      <c r="AD86" s="32"/>
      <c r="AE86" s="32"/>
      <c r="AF86" s="32"/>
      <c r="AG86" s="32"/>
      <c r="AH86" s="3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2:47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  <c r="M87" s="32"/>
      <c r="N87" s="32"/>
      <c r="O87" s="32"/>
      <c r="P87" s="32"/>
      <c r="Q87" s="32"/>
      <c r="R87" s="32"/>
      <c r="S87" s="32"/>
      <c r="T87" s="31"/>
      <c r="U87" s="31"/>
      <c r="V87" s="31"/>
      <c r="W87" s="31"/>
      <c r="X87" s="31"/>
      <c r="Y87" s="31"/>
      <c r="Z87" s="31"/>
      <c r="AA87" s="31"/>
      <c r="AB87" s="32"/>
      <c r="AC87" s="32"/>
      <c r="AD87" s="32"/>
      <c r="AE87" s="32"/>
      <c r="AF87" s="32"/>
      <c r="AG87" s="32"/>
      <c r="AH87" s="3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2:47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  <c r="M88" s="32"/>
      <c r="N88" s="32"/>
      <c r="O88" s="32"/>
      <c r="P88" s="32"/>
      <c r="Q88" s="32"/>
      <c r="R88" s="32"/>
      <c r="S88" s="32"/>
      <c r="T88" s="31"/>
      <c r="U88" s="31"/>
      <c r="V88" s="31"/>
      <c r="W88" s="31"/>
      <c r="X88" s="31"/>
      <c r="Y88" s="31"/>
      <c r="Z88" s="31"/>
      <c r="AA88" s="31"/>
      <c r="AB88" s="32"/>
      <c r="AC88" s="32"/>
      <c r="AD88" s="32"/>
      <c r="AE88" s="32"/>
      <c r="AF88" s="32"/>
      <c r="AG88" s="32"/>
      <c r="AH88" s="32"/>
      <c r="AK88" s="31"/>
      <c r="AL88" s="31"/>
      <c r="AM88" s="32"/>
      <c r="AN88" s="32"/>
      <c r="AO88" s="32"/>
      <c r="AP88" s="32"/>
      <c r="AQ88" s="32"/>
      <c r="AR88" s="32"/>
      <c r="AS88" s="32"/>
    </row>
    <row r="89" spans="2:47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K89" s="32"/>
      <c r="AL89" s="32"/>
      <c r="AM89" s="32"/>
      <c r="AN89" s="32"/>
      <c r="AO89" s="32"/>
      <c r="AP89" s="32"/>
      <c r="AQ89" s="32"/>
      <c r="AR89" s="32"/>
      <c r="AS89" s="32"/>
    </row>
    <row r="90" spans="2:47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K90" s="32"/>
      <c r="AL90" s="32"/>
      <c r="AM90" s="32"/>
      <c r="AN90" s="32"/>
      <c r="AO90" s="32"/>
      <c r="AP90" s="32"/>
      <c r="AQ90" s="32"/>
      <c r="AR90" s="32"/>
      <c r="AS90" s="32"/>
    </row>
    <row r="91" spans="2:47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K91" s="32"/>
      <c r="AL91" s="32"/>
      <c r="AM91" s="32"/>
      <c r="AN91" s="32"/>
      <c r="AO91" s="32"/>
      <c r="AP91" s="32"/>
      <c r="AQ91" s="32"/>
      <c r="AR91" s="32"/>
      <c r="AS91" s="32"/>
    </row>
    <row r="92" spans="2:47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K92" s="32"/>
      <c r="AL92" s="32"/>
      <c r="AM92" s="32"/>
      <c r="AN92" s="32"/>
      <c r="AO92" s="32"/>
      <c r="AP92" s="32"/>
      <c r="AQ92" s="32"/>
      <c r="AR92" s="32"/>
      <c r="AS92" s="32"/>
    </row>
  </sheetData>
  <mergeCells count="318">
    <mergeCell ref="I5:R5"/>
    <mergeCell ref="I6:Q6"/>
    <mergeCell ref="V6:AC6"/>
    <mergeCell ref="I7:P7"/>
    <mergeCell ref="I8:O8"/>
    <mergeCell ref="I9:S9"/>
    <mergeCell ref="J10:AE10"/>
    <mergeCell ref="B11:G11"/>
    <mergeCell ref="S11:X11"/>
    <mergeCell ref="Y11:AB11"/>
    <mergeCell ref="AC11:AH11"/>
    <mergeCell ref="B12:O12"/>
    <mergeCell ref="S12:U12"/>
    <mergeCell ref="V12:AD12"/>
    <mergeCell ref="B15:D15"/>
    <mergeCell ref="E15:O15"/>
    <mergeCell ref="S15:AB15"/>
    <mergeCell ref="AC15:AH15"/>
    <mergeCell ref="B16:C16"/>
    <mergeCell ref="E16:O16"/>
    <mergeCell ref="S16:AB16"/>
    <mergeCell ref="B17:C17"/>
    <mergeCell ref="E17:O17"/>
    <mergeCell ref="Y17:AB17"/>
    <mergeCell ref="AC17:AH17"/>
    <mergeCell ref="B18:C18"/>
    <mergeCell ref="E18:O18"/>
    <mergeCell ref="Y18:AB18"/>
    <mergeCell ref="C22:T22"/>
    <mergeCell ref="U22:V22"/>
    <mergeCell ref="W22:Y22"/>
    <mergeCell ref="Z22:AC22"/>
    <mergeCell ref="AD22:AH22"/>
    <mergeCell ref="C23:T23"/>
    <mergeCell ref="U23:V23"/>
    <mergeCell ref="W23:Y23"/>
    <mergeCell ref="Z23:AC23"/>
    <mergeCell ref="AD23:AH23"/>
    <mergeCell ref="C24:T24"/>
    <mergeCell ref="U24:V24"/>
    <mergeCell ref="W24:Y24"/>
    <mergeCell ref="Z24:AC24"/>
    <mergeCell ref="AD24:AH24"/>
    <mergeCell ref="C25:T25"/>
    <mergeCell ref="U25:V25"/>
    <mergeCell ref="W25:Y25"/>
    <mergeCell ref="Z25:AC25"/>
    <mergeCell ref="AD25:AH25"/>
    <mergeCell ref="C26:T26"/>
    <mergeCell ref="U26:V26"/>
    <mergeCell ref="W26:Y26"/>
    <mergeCell ref="Z26:AC26"/>
    <mergeCell ref="AD26:AH26"/>
    <mergeCell ref="C27:T27"/>
    <mergeCell ref="U27:V27"/>
    <mergeCell ref="W27:Y27"/>
    <mergeCell ref="Z27:AC27"/>
    <mergeCell ref="AD27:AH27"/>
    <mergeCell ref="C28:T28"/>
    <mergeCell ref="U28:V28"/>
    <mergeCell ref="W28:Y28"/>
    <mergeCell ref="Z28:AC28"/>
    <mergeCell ref="AD28:AH28"/>
    <mergeCell ref="C29:T29"/>
    <mergeCell ref="U29:V29"/>
    <mergeCell ref="W29:Y29"/>
    <mergeCell ref="Z29:AC29"/>
    <mergeCell ref="AD29:AH29"/>
    <mergeCell ref="C30:T30"/>
    <mergeCell ref="U30:V30"/>
    <mergeCell ref="W30:Y30"/>
    <mergeCell ref="Z30:AC30"/>
    <mergeCell ref="AD30:AH30"/>
    <mergeCell ref="C31:T31"/>
    <mergeCell ref="U31:V31"/>
    <mergeCell ref="W31:Y31"/>
    <mergeCell ref="Z31:AC31"/>
    <mergeCell ref="AD31:AH31"/>
    <mergeCell ref="C32:T32"/>
    <mergeCell ref="U32:V32"/>
    <mergeCell ref="W32:Y32"/>
    <mergeCell ref="Z32:AC32"/>
    <mergeCell ref="AD32:AH32"/>
    <mergeCell ref="C33:T33"/>
    <mergeCell ref="U33:V33"/>
    <mergeCell ref="W33:Y33"/>
    <mergeCell ref="Z33:AC33"/>
    <mergeCell ref="AD33:AH33"/>
    <mergeCell ref="C34:T34"/>
    <mergeCell ref="U34:V34"/>
    <mergeCell ref="W34:Y34"/>
    <mergeCell ref="Z34:AC34"/>
    <mergeCell ref="AD34:AH34"/>
    <mergeCell ref="C35:T35"/>
    <mergeCell ref="U35:V35"/>
    <mergeCell ref="W35:Y35"/>
    <mergeCell ref="Z35:AC35"/>
    <mergeCell ref="AD35:AH35"/>
    <mergeCell ref="C36:T36"/>
    <mergeCell ref="U36:V36"/>
    <mergeCell ref="W36:Y36"/>
    <mergeCell ref="Z36:AC36"/>
    <mergeCell ref="AD36:AH36"/>
    <mergeCell ref="C37:T37"/>
    <mergeCell ref="U37:V37"/>
    <mergeCell ref="W37:Y37"/>
    <mergeCell ref="Z37:AC37"/>
    <mergeCell ref="AD37:AH37"/>
    <mergeCell ref="C38:T38"/>
    <mergeCell ref="U38:V38"/>
    <mergeCell ref="W38:Y38"/>
    <mergeCell ref="Z38:AC38"/>
    <mergeCell ref="AD38:AH38"/>
    <mergeCell ref="C39:T39"/>
    <mergeCell ref="U39:V39"/>
    <mergeCell ref="W39:Y39"/>
    <mergeCell ref="Z39:AC39"/>
    <mergeCell ref="AD39:AH39"/>
    <mergeCell ref="C40:T40"/>
    <mergeCell ref="U40:V40"/>
    <mergeCell ref="W40:Y40"/>
    <mergeCell ref="Z40:AC40"/>
    <mergeCell ref="AD40:AH40"/>
    <mergeCell ref="C41:T41"/>
    <mergeCell ref="U41:V41"/>
    <mergeCell ref="W41:Y41"/>
    <mergeCell ref="Z41:AC41"/>
    <mergeCell ref="AD41:AH41"/>
    <mergeCell ref="C42:T42"/>
    <mergeCell ref="U42:V42"/>
    <mergeCell ref="W42:Y42"/>
    <mergeCell ref="Z42:AC42"/>
    <mergeCell ref="AD42:AH42"/>
    <mergeCell ref="C43:T43"/>
    <mergeCell ref="U43:V43"/>
    <mergeCell ref="W43:Y43"/>
    <mergeCell ref="Z43:AC43"/>
    <mergeCell ref="AD43:AH43"/>
    <mergeCell ref="C44:T44"/>
    <mergeCell ref="U44:V44"/>
    <mergeCell ref="W44:Y44"/>
    <mergeCell ref="Z44:AC44"/>
    <mergeCell ref="AD44:AH44"/>
    <mergeCell ref="C45:T45"/>
    <mergeCell ref="U45:V45"/>
    <mergeCell ref="W45:Y45"/>
    <mergeCell ref="Z45:AC45"/>
    <mergeCell ref="AD45:AH45"/>
    <mergeCell ref="C46:T46"/>
    <mergeCell ref="U46:V46"/>
    <mergeCell ref="W46:Y46"/>
    <mergeCell ref="Z46:AC46"/>
    <mergeCell ref="AD46:AH46"/>
    <mergeCell ref="C47:T47"/>
    <mergeCell ref="U47:V47"/>
    <mergeCell ref="W47:Y47"/>
    <mergeCell ref="Z47:AC47"/>
    <mergeCell ref="AD47:AH47"/>
    <mergeCell ref="C48:T48"/>
    <mergeCell ref="U48:V48"/>
    <mergeCell ref="W48:Y48"/>
    <mergeCell ref="Z48:AC48"/>
    <mergeCell ref="AD48:AH48"/>
    <mergeCell ref="C49:T49"/>
    <mergeCell ref="U49:V49"/>
    <mergeCell ref="W49:Y49"/>
    <mergeCell ref="Z49:AC49"/>
    <mergeCell ref="AD49:AH49"/>
    <mergeCell ref="C50:T50"/>
    <mergeCell ref="U50:V50"/>
    <mergeCell ref="W50:Y50"/>
    <mergeCell ref="Z50:AC50"/>
    <mergeCell ref="AD50:AH50"/>
    <mergeCell ref="C51:T51"/>
    <mergeCell ref="U51:V51"/>
    <mergeCell ref="W51:Y51"/>
    <mergeCell ref="Z51:AC51"/>
    <mergeCell ref="AD51:AH51"/>
    <mergeCell ref="C52:T52"/>
    <mergeCell ref="U52:V52"/>
    <mergeCell ref="W52:Y52"/>
    <mergeCell ref="Z52:AC52"/>
    <mergeCell ref="AD52:AH52"/>
    <mergeCell ref="C53:T53"/>
    <mergeCell ref="U53:V53"/>
    <mergeCell ref="W53:Y53"/>
    <mergeCell ref="Z53:AC53"/>
    <mergeCell ref="AD53:AH53"/>
    <mergeCell ref="C54:T54"/>
    <mergeCell ref="U54:V54"/>
    <mergeCell ref="W54:Y54"/>
    <mergeCell ref="Z54:AC54"/>
    <mergeCell ref="AD54:AH54"/>
    <mergeCell ref="C55:T55"/>
    <mergeCell ref="U55:V55"/>
    <mergeCell ref="W55:Y55"/>
    <mergeCell ref="Z55:AC55"/>
    <mergeCell ref="AD55:AH55"/>
    <mergeCell ref="C56:T56"/>
    <mergeCell ref="U56:V56"/>
    <mergeCell ref="W56:Y56"/>
    <mergeCell ref="Z56:AC56"/>
    <mergeCell ref="AD56:AH56"/>
    <mergeCell ref="C57:T57"/>
    <mergeCell ref="U57:V57"/>
    <mergeCell ref="W57:Y57"/>
    <mergeCell ref="Z57:AC57"/>
    <mergeCell ref="AD57:AH57"/>
    <mergeCell ref="C58:T58"/>
    <mergeCell ref="U58:V58"/>
    <mergeCell ref="W58:Y58"/>
    <mergeCell ref="Z58:AC58"/>
    <mergeCell ref="AD58:AH58"/>
    <mergeCell ref="C59:T59"/>
    <mergeCell ref="U59:V59"/>
    <mergeCell ref="W59:Y59"/>
    <mergeCell ref="Z59:AC59"/>
    <mergeCell ref="AD59:AH59"/>
    <mergeCell ref="C60:T60"/>
    <mergeCell ref="U60:V60"/>
    <mergeCell ref="W60:Y60"/>
    <mergeCell ref="Z60:AC60"/>
    <mergeCell ref="AD60:AH60"/>
    <mergeCell ref="C61:T61"/>
    <mergeCell ref="U61:V61"/>
    <mergeCell ref="W61:Y61"/>
    <mergeCell ref="Z61:AC61"/>
    <mergeCell ref="AD61:AH61"/>
    <mergeCell ref="C62:T62"/>
    <mergeCell ref="U62:V62"/>
    <mergeCell ref="W62:Y62"/>
    <mergeCell ref="Z62:AC62"/>
    <mergeCell ref="AD62:AH62"/>
    <mergeCell ref="C63:T63"/>
    <mergeCell ref="U63:V63"/>
    <mergeCell ref="W63:Y63"/>
    <mergeCell ref="Z63:AC63"/>
    <mergeCell ref="AD63:AH63"/>
    <mergeCell ref="C64:T64"/>
    <mergeCell ref="U64:V64"/>
    <mergeCell ref="W64:Y64"/>
    <mergeCell ref="Z64:AC64"/>
    <mergeCell ref="AD64:AH64"/>
    <mergeCell ref="C65:T65"/>
    <mergeCell ref="U65:V65"/>
    <mergeCell ref="W65:Y65"/>
    <mergeCell ref="Z65:AC65"/>
    <mergeCell ref="AD65:AH65"/>
    <mergeCell ref="C66:T66"/>
    <mergeCell ref="U66:V66"/>
    <mergeCell ref="W66:Y66"/>
    <mergeCell ref="Z66:AC66"/>
    <mergeCell ref="AD66:AH66"/>
    <mergeCell ref="C67:T67"/>
    <mergeCell ref="U67:V67"/>
    <mergeCell ref="W67:Y67"/>
    <mergeCell ref="Z67:AC67"/>
    <mergeCell ref="AD67:AH67"/>
    <mergeCell ref="C68:T68"/>
    <mergeCell ref="U68:V68"/>
    <mergeCell ref="W68:Y68"/>
    <mergeCell ref="Z68:AC68"/>
    <mergeCell ref="AD68:AH68"/>
    <mergeCell ref="C69:T69"/>
    <mergeCell ref="U69:V69"/>
    <mergeCell ref="W69:Y69"/>
    <mergeCell ref="Z69:AC69"/>
    <mergeCell ref="AD69:AH69"/>
    <mergeCell ref="C70:T70"/>
    <mergeCell ref="U70:V70"/>
    <mergeCell ref="W70:Y70"/>
    <mergeCell ref="Z70:AC70"/>
    <mergeCell ref="AD70:AH70"/>
    <mergeCell ref="C71:T71"/>
    <mergeCell ref="U71:V71"/>
    <mergeCell ref="W71:Y71"/>
    <mergeCell ref="Z71:AC71"/>
    <mergeCell ref="AD71:AH71"/>
    <mergeCell ref="C72:T72"/>
    <mergeCell ref="U72:V72"/>
    <mergeCell ref="W72:Y72"/>
    <mergeCell ref="Z72:AC72"/>
    <mergeCell ref="AD72:AH72"/>
    <mergeCell ref="AD77:AH77"/>
    <mergeCell ref="C73:T73"/>
    <mergeCell ref="U73:V73"/>
    <mergeCell ref="W73:Y73"/>
    <mergeCell ref="Z73:AC73"/>
    <mergeCell ref="AD73:AH73"/>
    <mergeCell ref="C74:T74"/>
    <mergeCell ref="U74:V74"/>
    <mergeCell ref="W74:Y74"/>
    <mergeCell ref="Z74:AC74"/>
    <mergeCell ref="AD74:AH74"/>
    <mergeCell ref="B82:Q82"/>
    <mergeCell ref="B8:B9"/>
    <mergeCell ref="B13:D14"/>
    <mergeCell ref="E13:O14"/>
    <mergeCell ref="I1:AD4"/>
    <mergeCell ref="Z78:AC78"/>
    <mergeCell ref="AD78:AH78"/>
    <mergeCell ref="B79:W79"/>
    <mergeCell ref="Z79:AC79"/>
    <mergeCell ref="AD79:AH79"/>
    <mergeCell ref="B80:W80"/>
    <mergeCell ref="Z80:AC80"/>
    <mergeCell ref="AD80:AH80"/>
    <mergeCell ref="B81:G81"/>
    <mergeCell ref="H81:N81"/>
    <mergeCell ref="C75:T75"/>
    <mergeCell ref="U75:V75"/>
    <mergeCell ref="W75:Y75"/>
    <mergeCell ref="Z75:AC75"/>
    <mergeCell ref="AD75:AH75"/>
    <mergeCell ref="B76:X76"/>
    <mergeCell ref="Z76:AC76"/>
    <mergeCell ref="AD76:AH76"/>
    <mergeCell ref="Z77:AC77"/>
  </mergeCells>
  <pageMargins left="0.7" right="0.7" top="0.75" bottom="0.75" header="0.3" footer="0.3"/>
  <pageSetup paperSize="9" scale="52" orientation="portrait" horizontalDpi="1200" verticalDpi="1200" r:id="rId1"/>
  <colBreaks count="2" manualBreakCount="2">
    <brk id="35" max="84" man="1"/>
    <brk id="3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D46-B59E-43AC-AA27-552BCAFB1D96}">
  <dimension ref="B1:AU95"/>
  <sheetViews>
    <sheetView view="pageLayout" zoomScale="91" zoomScaleNormal="70" zoomScaleSheetLayoutView="70" zoomScalePageLayoutView="91" workbookViewId="0">
      <selection activeCell="V13" sqref="V13"/>
    </sheetView>
  </sheetViews>
  <sheetFormatPr baseColWidth="10" defaultColWidth="10.7109375" defaultRowHeight="15"/>
  <cols>
    <col min="1" max="1" width="5.28515625" customWidth="1"/>
    <col min="2" max="2" width="10.7109375" customWidth="1"/>
    <col min="3" max="6" width="2.85546875" customWidth="1"/>
    <col min="7" max="7" width="2.28515625" customWidth="1"/>
    <col min="8" max="9" width="2.85546875" customWidth="1"/>
    <col min="10" max="10" width="2.28515625" customWidth="1"/>
    <col min="11" max="11" width="0.140625" hidden="1" customWidth="1"/>
    <col min="12" max="12" width="4.42578125" customWidth="1"/>
    <col min="13" max="13" width="6.85546875" customWidth="1"/>
    <col min="14" max="14" width="7.140625" customWidth="1"/>
    <col min="15" max="16" width="2.85546875" customWidth="1"/>
    <col min="17" max="17" width="5.7109375" customWidth="1"/>
    <col min="18" max="18" width="6.28515625" customWidth="1"/>
    <col min="19" max="19" width="4.42578125" customWidth="1"/>
    <col min="20" max="20" width="17.140625" customWidth="1"/>
    <col min="21" max="21" width="4.5703125" customWidth="1"/>
    <col min="22" max="22" width="6" customWidth="1"/>
    <col min="23" max="23" width="2.85546875" customWidth="1"/>
    <col min="24" max="24" width="8.28515625" customWidth="1"/>
    <col min="25" max="25" width="3" customWidth="1"/>
    <col min="26" max="26" width="4.85546875" customWidth="1"/>
    <col min="27" max="27" width="2.28515625" customWidth="1"/>
    <col min="28" max="28" width="3.5703125" customWidth="1"/>
    <col min="29" max="29" width="6.7109375" customWidth="1"/>
    <col min="30" max="30" width="3.140625" customWidth="1"/>
    <col min="31" max="31" width="2.85546875" customWidth="1"/>
    <col min="32" max="32" width="3.42578125" customWidth="1"/>
    <col min="33" max="33" width="1.85546875" customWidth="1"/>
    <col min="34" max="34" width="5.7109375" customWidth="1"/>
    <col min="35" max="35" width="2.85546875" customWidth="1"/>
    <col min="36" max="36" width="6.7109375" customWidth="1"/>
    <col min="37" max="37" width="4.85546875" customWidth="1"/>
    <col min="38" max="38" width="2.28515625" customWidth="1"/>
    <col min="39" max="39" width="3.5703125" customWidth="1"/>
    <col min="40" max="40" width="14" customWidth="1"/>
    <col min="41" max="41" width="3.140625" customWidth="1"/>
    <col min="42" max="42" width="2.85546875" customWidth="1"/>
    <col min="43" max="43" width="3.42578125" customWidth="1"/>
    <col min="44" max="44" width="1.85546875" customWidth="1"/>
    <col min="45" max="45" width="5.7109375" customWidth="1"/>
    <col min="46" max="46" width="2.85546875" customWidth="1"/>
    <col min="47" max="47" width="6.85546875" customWidth="1"/>
    <col min="48" max="51" width="2.85546875" customWidth="1"/>
    <col min="52" max="52" width="6.28515625" customWidth="1"/>
    <col min="53" max="54" width="2.85546875" customWidth="1"/>
  </cols>
  <sheetData>
    <row r="1" spans="2:34" ht="22.5" customHeight="1">
      <c r="I1" s="54" t="s">
        <v>153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  <c r="AE1" s="22"/>
    </row>
    <row r="2" spans="2:34" ht="15" customHeight="1">
      <c r="I2" s="57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9"/>
      <c r="AE2" s="22"/>
    </row>
    <row r="3" spans="2:34" ht="17.25" customHeight="1"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9"/>
      <c r="AE3" s="23"/>
      <c r="AG3" s="6"/>
    </row>
    <row r="4" spans="2:34" ht="18.600000000000001" customHeight="1" thickBot="1"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2"/>
      <c r="AE4" s="4"/>
      <c r="AF4" s="23"/>
      <c r="AG4" s="6"/>
    </row>
    <row r="5" spans="2:34" ht="18.600000000000001" customHeight="1">
      <c r="I5" s="63" t="s">
        <v>149</v>
      </c>
      <c r="J5" s="63"/>
      <c r="K5" s="63"/>
      <c r="L5" s="63"/>
      <c r="M5" s="63"/>
      <c r="N5" s="63"/>
      <c r="O5" s="63"/>
      <c r="P5" s="63"/>
      <c r="Q5" s="63"/>
      <c r="R5" s="63"/>
      <c r="AG5" s="5"/>
    </row>
    <row r="6" spans="2:34">
      <c r="I6" s="63" t="s">
        <v>150</v>
      </c>
      <c r="J6" s="63"/>
      <c r="K6" s="63"/>
      <c r="L6" s="63"/>
      <c r="M6" s="63"/>
      <c r="N6" s="63"/>
      <c r="O6" s="63"/>
      <c r="P6" s="63"/>
      <c r="Q6" s="63"/>
      <c r="R6" s="5"/>
      <c r="S6" s="5"/>
      <c r="T6" s="5"/>
      <c r="U6" s="5"/>
      <c r="V6" s="64"/>
      <c r="W6" s="64"/>
      <c r="X6" s="64"/>
      <c r="Y6" s="64"/>
      <c r="Z6" s="64"/>
      <c r="AA6" s="64"/>
      <c r="AB6" s="64"/>
      <c r="AC6" s="64"/>
      <c r="AD6" s="5"/>
      <c r="AE6" s="5"/>
      <c r="AF6" s="5"/>
      <c r="AG6" s="5"/>
      <c r="AH6" s="9"/>
    </row>
    <row r="7" spans="2:34">
      <c r="I7" s="63" t="s">
        <v>151</v>
      </c>
      <c r="J7" s="63"/>
      <c r="K7" s="63"/>
      <c r="L7" s="63"/>
      <c r="M7" s="63"/>
      <c r="N7" s="63"/>
      <c r="O7" s="63"/>
      <c r="P7" s="6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8"/>
    </row>
    <row r="8" spans="2:34">
      <c r="B8" s="80" t="s">
        <v>1</v>
      </c>
      <c r="C8" s="4" t="s">
        <v>2</v>
      </c>
      <c r="D8" s="5"/>
      <c r="E8" s="5"/>
      <c r="F8" s="6"/>
      <c r="G8" s="6"/>
      <c r="I8" s="63" t="s">
        <v>152</v>
      </c>
      <c r="J8" s="63"/>
      <c r="K8" s="63"/>
      <c r="L8" s="63"/>
      <c r="M8" s="63"/>
      <c r="N8" s="63"/>
      <c r="O8" s="6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9"/>
    </row>
    <row r="9" spans="2:34" ht="15" customHeight="1">
      <c r="B9" s="80"/>
      <c r="C9" s="4" t="s">
        <v>3</v>
      </c>
      <c r="D9" s="5"/>
      <c r="E9" s="5"/>
      <c r="F9" s="6"/>
      <c r="G9" s="6"/>
      <c r="I9" s="81" t="s">
        <v>4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9"/>
    </row>
    <row r="10" spans="2:34" ht="11.25" customHeight="1" thickBot="1">
      <c r="B10" s="7"/>
      <c r="C10" s="8"/>
      <c r="D10" s="9"/>
      <c r="E10" s="9"/>
      <c r="I10" s="8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"/>
      <c r="AG10" s="9"/>
      <c r="AH10" s="9"/>
    </row>
    <row r="11" spans="2:34" ht="28.5" customHeight="1">
      <c r="B11" s="98" t="s">
        <v>5</v>
      </c>
      <c r="C11" s="98"/>
      <c r="D11" s="98"/>
      <c r="E11" s="98"/>
      <c r="F11" s="98"/>
      <c r="G11" s="98"/>
      <c r="H11" s="10"/>
      <c r="I11" s="10"/>
      <c r="J11" s="10"/>
      <c r="K11" s="10"/>
      <c r="L11" s="10"/>
      <c r="M11" s="10"/>
      <c r="N11" s="10"/>
      <c r="O11" s="10"/>
      <c r="P11" s="16"/>
      <c r="Q11" s="16"/>
      <c r="R11" s="16"/>
      <c r="S11" s="99" t="s">
        <v>6</v>
      </c>
      <c r="T11" s="99"/>
      <c r="U11" s="99"/>
      <c r="V11" s="99"/>
      <c r="W11" s="99"/>
      <c r="X11" s="99"/>
      <c r="Y11" s="100" t="s">
        <v>148</v>
      </c>
      <c r="Z11" s="100"/>
      <c r="AA11" s="100"/>
      <c r="AB11" s="100"/>
      <c r="AC11" s="101" t="s">
        <v>7</v>
      </c>
      <c r="AD11" s="101"/>
      <c r="AE11" s="101"/>
      <c r="AF11" s="101"/>
      <c r="AG11" s="101"/>
      <c r="AH11" s="101"/>
    </row>
    <row r="12" spans="2:34" ht="24.75" customHeight="1">
      <c r="B12" s="102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7"/>
      <c r="Q12" s="17"/>
      <c r="R12" s="19"/>
      <c r="S12" s="103" t="s">
        <v>9</v>
      </c>
      <c r="T12" s="103"/>
      <c r="U12" s="103"/>
      <c r="V12" s="104">
        <v>46127</v>
      </c>
      <c r="W12" s="104"/>
      <c r="X12" s="104"/>
      <c r="Y12" s="104"/>
      <c r="Z12" s="104"/>
      <c r="AA12" s="104"/>
      <c r="AB12" s="104"/>
      <c r="AC12" s="104"/>
      <c r="AD12" s="104"/>
      <c r="AE12" s="24"/>
      <c r="AF12" s="5"/>
      <c r="AG12" s="27"/>
      <c r="AH12" s="15"/>
    </row>
    <row r="13" spans="2:34" ht="15.75">
      <c r="B13" s="107" t="s">
        <v>10</v>
      </c>
      <c r="C13" s="107"/>
      <c r="D13" s="107"/>
      <c r="E13" s="65" t="s">
        <v>11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18"/>
      <c r="Q13" s="18"/>
      <c r="R13" s="19"/>
      <c r="S13" s="20"/>
      <c r="T13" s="20"/>
      <c r="U13" s="20"/>
      <c r="V13" s="21"/>
      <c r="W13" s="21"/>
      <c r="X13" s="21"/>
      <c r="Y13" s="21"/>
      <c r="Z13" s="21"/>
      <c r="AA13" s="21"/>
      <c r="AB13" s="21"/>
      <c r="AC13" s="21"/>
      <c r="AD13" s="25"/>
      <c r="AE13" s="5"/>
      <c r="AF13" s="5"/>
      <c r="AG13" s="27"/>
      <c r="AH13" s="15"/>
    </row>
    <row r="14" spans="2:34" ht="9.75" customHeight="1">
      <c r="B14" s="107"/>
      <c r="C14" s="107"/>
      <c r="D14" s="10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18"/>
      <c r="Q14" s="18"/>
      <c r="R14" s="19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>
      <c r="B15" s="81" t="s">
        <v>12</v>
      </c>
      <c r="C15" s="81"/>
      <c r="D15" s="81"/>
      <c r="E15" s="81" t="s">
        <v>13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18"/>
      <c r="Q15" s="18"/>
      <c r="R15" s="19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96"/>
      <c r="AD15" s="96"/>
      <c r="AE15" s="96"/>
      <c r="AF15" s="96"/>
      <c r="AG15" s="96"/>
      <c r="AH15" s="96"/>
    </row>
    <row r="16" spans="2:34">
      <c r="B16" s="81" t="s">
        <v>14</v>
      </c>
      <c r="C16" s="81"/>
      <c r="D16" s="4"/>
      <c r="E16" s="105" t="s">
        <v>15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8"/>
      <c r="Q16" s="18"/>
      <c r="R16" s="19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26"/>
      <c r="AD16" s="26"/>
      <c r="AE16" s="26"/>
      <c r="AF16" s="26"/>
      <c r="AG16" s="26"/>
      <c r="AH16" s="26"/>
    </row>
    <row r="17" spans="2:40">
      <c r="B17" s="81" t="s">
        <v>16</v>
      </c>
      <c r="C17" s="81"/>
      <c r="D17" s="4"/>
      <c r="E17" s="106" t="s">
        <v>7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8"/>
      <c r="Q17" s="18"/>
      <c r="R17" s="19"/>
      <c r="Y17" s="96"/>
      <c r="Z17" s="96"/>
      <c r="AA17" s="96"/>
      <c r="AB17" s="96"/>
      <c r="AC17" s="96"/>
      <c r="AD17" s="96"/>
      <c r="AE17" s="96"/>
      <c r="AF17" s="96"/>
      <c r="AG17" s="96"/>
      <c r="AH17" s="96"/>
    </row>
    <row r="18" spans="2:40">
      <c r="B18" s="81" t="s">
        <v>17</v>
      </c>
      <c r="C18" s="81"/>
      <c r="D18" s="4"/>
      <c r="E18" s="81">
        <v>16332112051</v>
      </c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18"/>
      <c r="Q18" s="18"/>
      <c r="R18" s="9"/>
      <c r="S18" s="5"/>
      <c r="T18" s="5"/>
      <c r="U18" s="5"/>
      <c r="V18" s="5"/>
      <c r="W18" s="5"/>
      <c r="X18" s="5"/>
      <c r="Y18" s="96"/>
      <c r="Z18" s="96"/>
      <c r="AA18" s="96"/>
      <c r="AB18" s="96"/>
      <c r="AC18" s="25"/>
      <c r="AD18" s="25"/>
      <c r="AE18" s="25"/>
      <c r="AF18" s="25"/>
      <c r="AG18" s="25"/>
      <c r="AH18" s="5"/>
    </row>
    <row r="19" spans="2:40">
      <c r="B19" s="11"/>
      <c r="C19" s="11"/>
      <c r="D19" s="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8"/>
      <c r="Q19" s="18"/>
      <c r="R19" s="9"/>
      <c r="S19" s="5"/>
      <c r="T19" s="5"/>
      <c r="U19" s="5"/>
      <c r="V19" s="5"/>
      <c r="W19" s="5"/>
      <c r="X19" s="5"/>
      <c r="Y19" s="26"/>
      <c r="Z19" s="26"/>
      <c r="AA19" s="26"/>
      <c r="AB19" s="26"/>
      <c r="AC19" s="25"/>
      <c r="AD19" s="25"/>
      <c r="AE19" s="25"/>
      <c r="AF19" s="25"/>
      <c r="AG19" s="25"/>
      <c r="AH19" s="5"/>
    </row>
    <row r="20" spans="2:40">
      <c r="B20" s="11" t="s">
        <v>215</v>
      </c>
      <c r="C20" s="4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8"/>
      <c r="Q20" s="18"/>
      <c r="R20" s="9"/>
      <c r="S20" s="5"/>
      <c r="T20" s="5"/>
      <c r="U20" s="5"/>
      <c r="V20" s="5"/>
      <c r="W20" s="5"/>
      <c r="X20" s="5"/>
      <c r="Y20" s="26"/>
      <c r="Z20" s="26"/>
      <c r="AA20" s="26"/>
      <c r="AB20" s="26"/>
      <c r="AC20" s="25"/>
      <c r="AD20" s="25"/>
      <c r="AE20" s="25"/>
      <c r="AF20" s="25"/>
      <c r="AG20" s="25"/>
      <c r="AH20" s="5"/>
    </row>
    <row r="21" spans="2:40" ht="15.75" thickBot="1">
      <c r="B21" s="11"/>
      <c r="C21" s="4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8"/>
      <c r="Q21" s="18"/>
      <c r="R21" s="9"/>
      <c r="S21" s="5"/>
      <c r="T21" s="5"/>
      <c r="U21" s="5"/>
      <c r="V21" s="5"/>
      <c r="W21" s="5"/>
      <c r="X21" s="5"/>
      <c r="Y21" s="26"/>
      <c r="Z21" s="26"/>
      <c r="AA21" s="26"/>
      <c r="AB21" s="26"/>
      <c r="AC21" s="25"/>
      <c r="AD21" s="25"/>
      <c r="AE21" s="25"/>
      <c r="AF21" s="25"/>
      <c r="AG21" s="25"/>
      <c r="AH21" s="5"/>
    </row>
    <row r="22" spans="2:40" s="1" customFormat="1" ht="18.75" customHeight="1" thickBot="1">
      <c r="B22" s="12" t="s">
        <v>18</v>
      </c>
      <c r="C22" s="108" t="s">
        <v>19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0"/>
      <c r="U22" s="108" t="s">
        <v>20</v>
      </c>
      <c r="V22" s="110"/>
      <c r="W22" s="108" t="s">
        <v>21</v>
      </c>
      <c r="X22" s="109"/>
      <c r="Y22" s="111"/>
      <c r="Z22" s="112" t="s">
        <v>22</v>
      </c>
      <c r="AA22" s="109"/>
      <c r="AB22" s="109"/>
      <c r="AC22" s="111"/>
      <c r="AD22" s="112" t="s">
        <v>23</v>
      </c>
      <c r="AE22" s="109"/>
      <c r="AF22" s="109"/>
      <c r="AG22" s="109"/>
      <c r="AH22" s="111"/>
    </row>
    <row r="23" spans="2:40" s="1" customFormat="1" ht="30.75" customHeight="1">
      <c r="B23" s="13" t="s">
        <v>24</v>
      </c>
      <c r="C23" s="66" t="s">
        <v>206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9" t="s">
        <v>26</v>
      </c>
      <c r="V23" s="70"/>
      <c r="W23" s="71">
        <v>513.58000000000004</v>
      </c>
      <c r="X23" s="72"/>
      <c r="Y23" s="73"/>
      <c r="Z23" s="74">
        <v>735</v>
      </c>
      <c r="AA23" s="75"/>
      <c r="AB23" s="75"/>
      <c r="AC23" s="76"/>
      <c r="AD23" s="77">
        <f>W23*Z23</f>
        <v>377481.30000000005</v>
      </c>
      <c r="AE23" s="78"/>
      <c r="AF23" s="78"/>
      <c r="AG23" s="78"/>
      <c r="AH23" s="79"/>
      <c r="AI23" s="28"/>
      <c r="AN23" s="29"/>
    </row>
    <row r="24" spans="2:40" s="1" customFormat="1" ht="42.75" customHeight="1">
      <c r="B24" s="14" t="s">
        <v>27</v>
      </c>
      <c r="C24" s="40" t="s">
        <v>154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/>
      <c r="U24" s="43" t="s">
        <v>26</v>
      </c>
      <c r="V24" s="44"/>
      <c r="W24" s="45">
        <v>458.35</v>
      </c>
      <c r="X24" s="46"/>
      <c r="Y24" s="47"/>
      <c r="Z24" s="48">
        <v>810</v>
      </c>
      <c r="AA24" s="49"/>
      <c r="AB24" s="49"/>
      <c r="AC24" s="50"/>
      <c r="AD24" s="51">
        <f>W24*Z24</f>
        <v>371263.5</v>
      </c>
      <c r="AE24" s="52"/>
      <c r="AF24" s="52"/>
      <c r="AG24" s="52"/>
      <c r="AH24" s="53"/>
      <c r="AI24" s="28"/>
      <c r="AN24" s="29"/>
    </row>
    <row r="25" spans="2:40" s="1" customFormat="1" ht="29.25" customHeight="1">
      <c r="B25" s="14" t="s">
        <v>29</v>
      </c>
      <c r="C25" s="40" t="s">
        <v>155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  <c r="U25" s="43" t="s">
        <v>26</v>
      </c>
      <c r="V25" s="44"/>
      <c r="W25" s="45">
        <v>178.11</v>
      </c>
      <c r="X25" s="46"/>
      <c r="Y25" s="47"/>
      <c r="Z25" s="48">
        <v>795</v>
      </c>
      <c r="AA25" s="49"/>
      <c r="AB25" s="49"/>
      <c r="AC25" s="50"/>
      <c r="AD25" s="51">
        <f t="shared" ref="AD25:AD75" si="0">W25*Z25</f>
        <v>141597.45000000001</v>
      </c>
      <c r="AE25" s="52"/>
      <c r="AF25" s="52"/>
      <c r="AG25" s="52"/>
      <c r="AH25" s="53"/>
      <c r="AI25" s="28"/>
      <c r="AN25" s="29"/>
    </row>
    <row r="26" spans="2:40" s="1" customFormat="1" ht="44.25" customHeight="1">
      <c r="B26" s="14" t="s">
        <v>31</v>
      </c>
      <c r="C26" s="40" t="s">
        <v>156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  <c r="U26" s="43" t="s">
        <v>26</v>
      </c>
      <c r="V26" s="44"/>
      <c r="W26" s="45">
        <v>76</v>
      </c>
      <c r="X26" s="46"/>
      <c r="Y26" s="47"/>
      <c r="Z26" s="48">
        <v>960</v>
      </c>
      <c r="AA26" s="49"/>
      <c r="AB26" s="49"/>
      <c r="AC26" s="50"/>
      <c r="AD26" s="51">
        <f t="shared" si="0"/>
        <v>72960</v>
      </c>
      <c r="AE26" s="52"/>
      <c r="AF26" s="52"/>
      <c r="AG26" s="52"/>
      <c r="AH26" s="53"/>
      <c r="AI26" s="28"/>
      <c r="AN26" s="29"/>
    </row>
    <row r="27" spans="2:40" s="1" customFormat="1" ht="33.75" customHeight="1">
      <c r="B27" s="14" t="s">
        <v>33</v>
      </c>
      <c r="C27" s="40" t="s">
        <v>157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2"/>
      <c r="U27" s="43" t="s">
        <v>26</v>
      </c>
      <c r="V27" s="44"/>
      <c r="W27" s="45">
        <v>37.49</v>
      </c>
      <c r="X27" s="46"/>
      <c r="Y27" s="47"/>
      <c r="Z27" s="48">
        <v>480</v>
      </c>
      <c r="AA27" s="49"/>
      <c r="AB27" s="49"/>
      <c r="AC27" s="50"/>
      <c r="AD27" s="51">
        <f t="shared" si="0"/>
        <v>17995.2</v>
      </c>
      <c r="AE27" s="52"/>
      <c r="AF27" s="52"/>
      <c r="AG27" s="52"/>
      <c r="AH27" s="53"/>
      <c r="AI27" s="28"/>
      <c r="AN27" s="29"/>
    </row>
    <row r="28" spans="2:40" s="1" customFormat="1" ht="34.5" customHeight="1">
      <c r="B28" s="14" t="s">
        <v>35</v>
      </c>
      <c r="C28" s="40" t="s">
        <v>158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2"/>
      <c r="U28" s="43" t="s">
        <v>37</v>
      </c>
      <c r="V28" s="44"/>
      <c r="W28" s="45">
        <v>52.86</v>
      </c>
      <c r="X28" s="46"/>
      <c r="Y28" s="47"/>
      <c r="Z28" s="48">
        <v>330</v>
      </c>
      <c r="AA28" s="49"/>
      <c r="AB28" s="49"/>
      <c r="AC28" s="50"/>
      <c r="AD28" s="51">
        <f t="shared" si="0"/>
        <v>17443.8</v>
      </c>
      <c r="AE28" s="52"/>
      <c r="AF28" s="52"/>
      <c r="AG28" s="52"/>
      <c r="AH28" s="53"/>
      <c r="AI28" s="28"/>
      <c r="AN28" s="29"/>
    </row>
    <row r="29" spans="2:40" s="1" customFormat="1" ht="33" customHeight="1">
      <c r="B29" s="14" t="s">
        <v>38</v>
      </c>
      <c r="C29" s="40" t="s">
        <v>159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43" t="s">
        <v>37</v>
      </c>
      <c r="V29" s="44"/>
      <c r="W29" s="45">
        <v>300</v>
      </c>
      <c r="X29" s="46"/>
      <c r="Y29" s="47"/>
      <c r="Z29" s="48">
        <v>255</v>
      </c>
      <c r="AA29" s="49"/>
      <c r="AB29" s="49"/>
      <c r="AC29" s="50"/>
      <c r="AD29" s="51">
        <f t="shared" si="0"/>
        <v>76500</v>
      </c>
      <c r="AE29" s="52"/>
      <c r="AF29" s="52"/>
      <c r="AG29" s="52"/>
      <c r="AH29" s="53"/>
      <c r="AI29" s="28"/>
      <c r="AN29" s="29"/>
    </row>
    <row r="30" spans="2:40" s="1" customFormat="1" ht="33" customHeight="1">
      <c r="B30" s="14" t="s">
        <v>40</v>
      </c>
      <c r="C30" s="40" t="s">
        <v>160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  <c r="U30" s="43" t="s">
        <v>37</v>
      </c>
      <c r="V30" s="44"/>
      <c r="W30" s="45">
        <v>40</v>
      </c>
      <c r="X30" s="46"/>
      <c r="Y30" s="47"/>
      <c r="Z30" s="48">
        <v>315</v>
      </c>
      <c r="AA30" s="49"/>
      <c r="AB30" s="49"/>
      <c r="AC30" s="50"/>
      <c r="AD30" s="51">
        <f t="shared" si="0"/>
        <v>12600</v>
      </c>
      <c r="AE30" s="52"/>
      <c r="AF30" s="52"/>
      <c r="AG30" s="52"/>
      <c r="AH30" s="53"/>
      <c r="AI30" s="28"/>
      <c r="AN30" s="29"/>
    </row>
    <row r="31" spans="2:40" s="1" customFormat="1" ht="34.5" customHeight="1">
      <c r="B31" s="14" t="s">
        <v>42</v>
      </c>
      <c r="C31" s="40" t="s">
        <v>161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43" t="s">
        <v>37</v>
      </c>
      <c r="V31" s="44"/>
      <c r="W31" s="45">
        <v>518.79999999999995</v>
      </c>
      <c r="X31" s="46"/>
      <c r="Y31" s="47"/>
      <c r="Z31" s="48">
        <v>690</v>
      </c>
      <c r="AA31" s="49"/>
      <c r="AB31" s="49"/>
      <c r="AC31" s="50"/>
      <c r="AD31" s="51">
        <f t="shared" si="0"/>
        <v>357971.99999999994</v>
      </c>
      <c r="AE31" s="52"/>
      <c r="AF31" s="52"/>
      <c r="AG31" s="52"/>
      <c r="AH31" s="53"/>
      <c r="AI31" s="28"/>
      <c r="AN31" s="29"/>
    </row>
    <row r="32" spans="2:40" s="2" customFormat="1" ht="24.75" customHeight="1">
      <c r="B32" s="14" t="s">
        <v>44</v>
      </c>
      <c r="C32" s="40" t="s">
        <v>162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  <c r="U32" s="43" t="s">
        <v>37</v>
      </c>
      <c r="V32" s="44"/>
      <c r="W32" s="45">
        <v>46.16</v>
      </c>
      <c r="X32" s="46"/>
      <c r="Y32" s="47"/>
      <c r="Z32" s="48">
        <v>360</v>
      </c>
      <c r="AA32" s="49"/>
      <c r="AB32" s="49"/>
      <c r="AC32" s="50"/>
      <c r="AD32" s="51">
        <f t="shared" si="0"/>
        <v>16617.599999999999</v>
      </c>
      <c r="AE32" s="52"/>
      <c r="AF32" s="52"/>
      <c r="AG32" s="52"/>
      <c r="AH32" s="53"/>
      <c r="AI32" s="28"/>
      <c r="AN32" s="29"/>
    </row>
    <row r="33" spans="2:40" s="2" customFormat="1" ht="24.75" customHeight="1">
      <c r="B33" s="14" t="s">
        <v>46</v>
      </c>
      <c r="C33" s="40" t="s">
        <v>163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U33" s="43" t="s">
        <v>37</v>
      </c>
      <c r="V33" s="44"/>
      <c r="W33" s="45">
        <v>3</v>
      </c>
      <c r="X33" s="46"/>
      <c r="Y33" s="47"/>
      <c r="Z33" s="48">
        <v>360</v>
      </c>
      <c r="AA33" s="49"/>
      <c r="AB33" s="49"/>
      <c r="AC33" s="50"/>
      <c r="AD33" s="51">
        <f t="shared" si="0"/>
        <v>1080</v>
      </c>
      <c r="AE33" s="52"/>
      <c r="AF33" s="52"/>
      <c r="AG33" s="52"/>
      <c r="AH33" s="53"/>
      <c r="AI33" s="28"/>
      <c r="AN33" s="29"/>
    </row>
    <row r="34" spans="2:40" s="2" customFormat="1" ht="24.75" customHeight="1">
      <c r="B34" s="14" t="s">
        <v>48</v>
      </c>
      <c r="C34" s="40" t="s">
        <v>164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  <c r="U34" s="43" t="s">
        <v>26</v>
      </c>
      <c r="V34" s="44"/>
      <c r="W34" s="45">
        <v>220</v>
      </c>
      <c r="X34" s="46"/>
      <c r="Y34" s="47"/>
      <c r="Z34" s="48">
        <v>180</v>
      </c>
      <c r="AA34" s="49"/>
      <c r="AB34" s="49"/>
      <c r="AC34" s="50"/>
      <c r="AD34" s="51">
        <f t="shared" si="0"/>
        <v>39600</v>
      </c>
      <c r="AE34" s="52"/>
      <c r="AF34" s="52"/>
      <c r="AG34" s="52"/>
      <c r="AH34" s="53"/>
      <c r="AI34" s="28"/>
      <c r="AN34" s="29"/>
    </row>
    <row r="35" spans="2:40" s="1" customFormat="1" ht="33" customHeight="1">
      <c r="B35" s="14" t="s">
        <v>50</v>
      </c>
      <c r="C35" s="40" t="s">
        <v>165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3" t="s">
        <v>26</v>
      </c>
      <c r="V35" s="44"/>
      <c r="W35" s="45">
        <v>1495</v>
      </c>
      <c r="X35" s="46"/>
      <c r="Y35" s="47"/>
      <c r="Z35" s="48">
        <v>360</v>
      </c>
      <c r="AA35" s="49"/>
      <c r="AB35" s="49"/>
      <c r="AC35" s="50"/>
      <c r="AD35" s="51">
        <f t="shared" si="0"/>
        <v>538200</v>
      </c>
      <c r="AE35" s="52"/>
      <c r="AF35" s="52"/>
      <c r="AG35" s="52"/>
      <c r="AH35" s="53"/>
      <c r="AI35" s="28"/>
      <c r="AN35" s="29"/>
    </row>
    <row r="36" spans="2:40" s="1" customFormat="1" ht="35.25" customHeight="1">
      <c r="B36" s="14" t="s">
        <v>52</v>
      </c>
      <c r="C36" s="40" t="s">
        <v>166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  <c r="U36" s="43" t="s">
        <v>26</v>
      </c>
      <c r="V36" s="44"/>
      <c r="W36" s="45">
        <v>7.37</v>
      </c>
      <c r="X36" s="46"/>
      <c r="Y36" s="47"/>
      <c r="Z36" s="48">
        <v>660</v>
      </c>
      <c r="AA36" s="49"/>
      <c r="AB36" s="49"/>
      <c r="AC36" s="50"/>
      <c r="AD36" s="51">
        <f t="shared" si="0"/>
        <v>4864.2</v>
      </c>
      <c r="AE36" s="52"/>
      <c r="AF36" s="52"/>
      <c r="AG36" s="52"/>
      <c r="AH36" s="53"/>
      <c r="AI36" s="28"/>
      <c r="AN36" s="29"/>
    </row>
    <row r="37" spans="2:40" s="1" customFormat="1" ht="33" customHeight="1">
      <c r="B37" s="14" t="s">
        <v>54</v>
      </c>
      <c r="C37" s="40" t="s">
        <v>167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U37" s="43" t="s">
        <v>26</v>
      </c>
      <c r="V37" s="44"/>
      <c r="W37" s="45">
        <v>38.9</v>
      </c>
      <c r="X37" s="46"/>
      <c r="Y37" s="47"/>
      <c r="Z37" s="48">
        <v>1140</v>
      </c>
      <c r="AA37" s="49"/>
      <c r="AB37" s="49"/>
      <c r="AC37" s="50"/>
      <c r="AD37" s="51">
        <f t="shared" si="0"/>
        <v>44346</v>
      </c>
      <c r="AE37" s="52"/>
      <c r="AF37" s="52"/>
      <c r="AG37" s="52"/>
      <c r="AH37" s="53"/>
      <c r="AI37" s="28"/>
      <c r="AN37" s="29"/>
    </row>
    <row r="38" spans="2:40" s="1" customFormat="1" ht="33" customHeight="1">
      <c r="B38" s="14" t="s">
        <v>56</v>
      </c>
      <c r="C38" s="40" t="s">
        <v>168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/>
      <c r="U38" s="43" t="s">
        <v>26</v>
      </c>
      <c r="V38" s="44"/>
      <c r="W38" s="45">
        <v>22.85</v>
      </c>
      <c r="X38" s="46"/>
      <c r="Y38" s="47"/>
      <c r="Z38" s="48">
        <v>660</v>
      </c>
      <c r="AA38" s="49"/>
      <c r="AB38" s="49"/>
      <c r="AC38" s="50"/>
      <c r="AD38" s="51">
        <f t="shared" si="0"/>
        <v>15081.000000000002</v>
      </c>
      <c r="AE38" s="52"/>
      <c r="AF38" s="52"/>
      <c r="AG38" s="52"/>
      <c r="AH38" s="53"/>
      <c r="AI38" s="28"/>
      <c r="AN38" s="29"/>
    </row>
    <row r="39" spans="2:40" s="1" customFormat="1" ht="33" customHeight="1">
      <c r="B39" s="14" t="s">
        <v>58</v>
      </c>
      <c r="C39" s="40" t="s">
        <v>169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43" t="s">
        <v>26</v>
      </c>
      <c r="V39" s="44"/>
      <c r="W39" s="45">
        <v>563</v>
      </c>
      <c r="X39" s="46"/>
      <c r="Y39" s="47"/>
      <c r="Z39" s="48">
        <v>1140</v>
      </c>
      <c r="AA39" s="49"/>
      <c r="AB39" s="49"/>
      <c r="AC39" s="50"/>
      <c r="AD39" s="51">
        <f t="shared" si="0"/>
        <v>641820</v>
      </c>
      <c r="AE39" s="52"/>
      <c r="AF39" s="52"/>
      <c r="AG39" s="52"/>
      <c r="AH39" s="53"/>
      <c r="AI39" s="28"/>
      <c r="AN39" s="29"/>
    </row>
    <row r="40" spans="2:40" s="1" customFormat="1" ht="33" customHeight="1">
      <c r="B40" s="14" t="s">
        <v>60</v>
      </c>
      <c r="C40" s="40" t="s">
        <v>170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43" t="s">
        <v>37</v>
      </c>
      <c r="V40" s="44"/>
      <c r="W40" s="45">
        <v>311</v>
      </c>
      <c r="X40" s="46"/>
      <c r="Y40" s="47"/>
      <c r="Z40" s="48">
        <v>330</v>
      </c>
      <c r="AA40" s="49"/>
      <c r="AB40" s="49"/>
      <c r="AC40" s="50"/>
      <c r="AD40" s="51">
        <f t="shared" si="0"/>
        <v>102630</v>
      </c>
      <c r="AE40" s="52"/>
      <c r="AF40" s="52"/>
      <c r="AG40" s="52"/>
      <c r="AH40" s="53"/>
      <c r="AI40" s="28"/>
      <c r="AN40" s="29"/>
    </row>
    <row r="41" spans="2:40" s="1" customFormat="1" ht="33" customHeight="1">
      <c r="B41" s="14" t="s">
        <v>62</v>
      </c>
      <c r="C41" s="40" t="s">
        <v>171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U41" s="43" t="s">
        <v>26</v>
      </c>
      <c r="V41" s="44"/>
      <c r="W41" s="45">
        <v>84</v>
      </c>
      <c r="X41" s="46"/>
      <c r="Y41" s="47"/>
      <c r="Z41" s="48">
        <v>1140</v>
      </c>
      <c r="AA41" s="49"/>
      <c r="AB41" s="49"/>
      <c r="AC41" s="50"/>
      <c r="AD41" s="51">
        <f t="shared" si="0"/>
        <v>95760</v>
      </c>
      <c r="AE41" s="52"/>
      <c r="AF41" s="52"/>
      <c r="AG41" s="52"/>
      <c r="AH41" s="53"/>
      <c r="AI41" s="28"/>
      <c r="AN41" s="29"/>
    </row>
    <row r="42" spans="2:40" s="1" customFormat="1" ht="33" customHeight="1">
      <c r="B42" s="14" t="s">
        <v>64</v>
      </c>
      <c r="C42" s="40" t="s">
        <v>172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  <c r="U42" s="43" t="s">
        <v>37</v>
      </c>
      <c r="V42" s="44"/>
      <c r="W42" s="45">
        <v>30</v>
      </c>
      <c r="X42" s="46"/>
      <c r="Y42" s="47"/>
      <c r="Z42" s="48">
        <v>855</v>
      </c>
      <c r="AA42" s="49"/>
      <c r="AB42" s="49"/>
      <c r="AC42" s="50"/>
      <c r="AD42" s="51">
        <f t="shared" si="0"/>
        <v>25650</v>
      </c>
      <c r="AE42" s="52"/>
      <c r="AF42" s="52"/>
      <c r="AG42" s="52"/>
      <c r="AH42" s="53"/>
      <c r="AI42" s="28"/>
      <c r="AN42" s="29"/>
    </row>
    <row r="43" spans="2:40" s="1" customFormat="1" ht="27" customHeight="1">
      <c r="B43" s="14" t="s">
        <v>66</v>
      </c>
      <c r="C43" s="40" t="s">
        <v>173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  <c r="U43" s="43" t="s">
        <v>68</v>
      </c>
      <c r="V43" s="44"/>
      <c r="W43" s="45">
        <v>3</v>
      </c>
      <c r="X43" s="46"/>
      <c r="Y43" s="47"/>
      <c r="Z43" s="48">
        <v>12000</v>
      </c>
      <c r="AA43" s="49"/>
      <c r="AB43" s="49"/>
      <c r="AC43" s="50"/>
      <c r="AD43" s="51">
        <f t="shared" si="0"/>
        <v>36000</v>
      </c>
      <c r="AE43" s="52"/>
      <c r="AF43" s="52"/>
      <c r="AG43" s="52"/>
      <c r="AH43" s="53"/>
      <c r="AI43" s="28"/>
      <c r="AN43" s="29"/>
    </row>
    <row r="44" spans="2:40" s="1" customFormat="1" ht="30" customHeight="1">
      <c r="B44" s="14" t="s">
        <v>69</v>
      </c>
      <c r="C44" s="40" t="s">
        <v>174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43" t="s">
        <v>68</v>
      </c>
      <c r="V44" s="44"/>
      <c r="W44" s="45">
        <v>4</v>
      </c>
      <c r="X44" s="46"/>
      <c r="Y44" s="47"/>
      <c r="Z44" s="48">
        <v>16500</v>
      </c>
      <c r="AA44" s="49"/>
      <c r="AB44" s="49"/>
      <c r="AC44" s="50"/>
      <c r="AD44" s="51">
        <f t="shared" si="0"/>
        <v>66000</v>
      </c>
      <c r="AE44" s="52"/>
      <c r="AF44" s="52"/>
      <c r="AG44" s="52"/>
      <c r="AH44" s="53"/>
      <c r="AI44" s="28"/>
      <c r="AN44" s="29"/>
    </row>
    <row r="45" spans="2:40" s="1" customFormat="1" ht="31.5" customHeight="1">
      <c r="B45" s="14" t="s">
        <v>71</v>
      </c>
      <c r="C45" s="40" t="s">
        <v>175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43" t="s">
        <v>68</v>
      </c>
      <c r="V45" s="44"/>
      <c r="W45" s="45">
        <v>1</v>
      </c>
      <c r="X45" s="46"/>
      <c r="Y45" s="47"/>
      <c r="Z45" s="48">
        <v>42000</v>
      </c>
      <c r="AA45" s="49"/>
      <c r="AB45" s="49"/>
      <c r="AC45" s="50"/>
      <c r="AD45" s="51">
        <f t="shared" si="0"/>
        <v>42000</v>
      </c>
      <c r="AE45" s="52"/>
      <c r="AF45" s="52"/>
      <c r="AG45" s="52"/>
      <c r="AH45" s="53"/>
      <c r="AI45" s="28"/>
      <c r="AN45" s="29"/>
    </row>
    <row r="46" spans="2:40" s="1" customFormat="1" ht="46.5" customHeight="1">
      <c r="B46" s="14" t="s">
        <v>73</v>
      </c>
      <c r="C46" s="40" t="s">
        <v>176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2"/>
      <c r="U46" s="43" t="s">
        <v>68</v>
      </c>
      <c r="V46" s="44"/>
      <c r="W46" s="45">
        <v>3</v>
      </c>
      <c r="X46" s="46"/>
      <c r="Y46" s="47"/>
      <c r="Z46" s="113">
        <v>33000</v>
      </c>
      <c r="AA46" s="114"/>
      <c r="AB46" s="114"/>
      <c r="AC46" s="115"/>
      <c r="AD46" s="51">
        <f t="shared" si="0"/>
        <v>99000</v>
      </c>
      <c r="AE46" s="52"/>
      <c r="AF46" s="52"/>
      <c r="AG46" s="52"/>
      <c r="AH46" s="53"/>
      <c r="AI46" s="28"/>
      <c r="AN46" s="29"/>
    </row>
    <row r="47" spans="2:40" s="1" customFormat="1" ht="34.5" customHeight="1">
      <c r="B47" s="14" t="s">
        <v>75</v>
      </c>
      <c r="C47" s="40" t="s">
        <v>177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2"/>
      <c r="U47" s="43" t="s">
        <v>68</v>
      </c>
      <c r="V47" s="44"/>
      <c r="W47" s="45">
        <v>4</v>
      </c>
      <c r="X47" s="46"/>
      <c r="Y47" s="47"/>
      <c r="Z47" s="113">
        <v>25500</v>
      </c>
      <c r="AA47" s="114"/>
      <c r="AB47" s="114"/>
      <c r="AC47" s="115"/>
      <c r="AD47" s="51">
        <f t="shared" si="0"/>
        <v>102000</v>
      </c>
      <c r="AE47" s="52"/>
      <c r="AF47" s="52"/>
      <c r="AG47" s="52"/>
      <c r="AH47" s="53"/>
      <c r="AI47" s="28"/>
      <c r="AN47" s="29"/>
    </row>
    <row r="48" spans="2:40" ht="31.5" customHeight="1">
      <c r="B48" s="14" t="s">
        <v>77</v>
      </c>
      <c r="C48" s="40" t="s">
        <v>178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2"/>
      <c r="U48" s="43" t="s">
        <v>68</v>
      </c>
      <c r="V48" s="44"/>
      <c r="W48" s="45">
        <v>21</v>
      </c>
      <c r="X48" s="46"/>
      <c r="Y48" s="47"/>
      <c r="Z48" s="113">
        <v>11700</v>
      </c>
      <c r="AA48" s="114"/>
      <c r="AB48" s="114"/>
      <c r="AC48" s="115"/>
      <c r="AD48" s="51">
        <f t="shared" si="0"/>
        <v>245700</v>
      </c>
      <c r="AE48" s="52"/>
      <c r="AF48" s="52"/>
      <c r="AG48" s="52"/>
      <c r="AH48" s="53"/>
      <c r="AI48" s="28"/>
      <c r="AN48" s="29"/>
    </row>
    <row r="49" spans="2:40" ht="31.5" customHeight="1">
      <c r="B49" s="14" t="s">
        <v>79</v>
      </c>
      <c r="C49" s="40" t="s">
        <v>179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2"/>
      <c r="U49" s="43" t="s">
        <v>68</v>
      </c>
      <c r="V49" s="44"/>
      <c r="W49" s="45">
        <v>1</v>
      </c>
      <c r="X49" s="46"/>
      <c r="Y49" s="47"/>
      <c r="Z49" s="113">
        <v>14850</v>
      </c>
      <c r="AA49" s="114"/>
      <c r="AB49" s="114"/>
      <c r="AC49" s="115"/>
      <c r="AD49" s="51">
        <f t="shared" si="0"/>
        <v>14850</v>
      </c>
      <c r="AE49" s="52"/>
      <c r="AF49" s="52"/>
      <c r="AG49" s="52"/>
      <c r="AH49" s="53"/>
      <c r="AI49" s="28"/>
      <c r="AN49" s="29"/>
    </row>
    <row r="50" spans="2:40" ht="34.5" customHeight="1">
      <c r="B50" s="14" t="s">
        <v>81</v>
      </c>
      <c r="C50" s="40" t="s">
        <v>180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2"/>
      <c r="U50" s="43" t="s">
        <v>68</v>
      </c>
      <c r="V50" s="44"/>
      <c r="W50" s="45">
        <v>4</v>
      </c>
      <c r="X50" s="46"/>
      <c r="Y50" s="47"/>
      <c r="Z50" s="113">
        <v>3000</v>
      </c>
      <c r="AA50" s="114"/>
      <c r="AB50" s="114"/>
      <c r="AC50" s="115"/>
      <c r="AD50" s="51">
        <f t="shared" si="0"/>
        <v>12000</v>
      </c>
      <c r="AE50" s="52"/>
      <c r="AF50" s="52"/>
      <c r="AG50" s="52"/>
      <c r="AH50" s="53"/>
      <c r="AI50" s="28"/>
      <c r="AN50" s="29"/>
    </row>
    <row r="51" spans="2:40" ht="31.5" customHeight="1">
      <c r="B51" s="14" t="s">
        <v>83</v>
      </c>
      <c r="C51" s="40" t="s">
        <v>181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2"/>
      <c r="U51" s="43" t="s">
        <v>68</v>
      </c>
      <c r="V51" s="44"/>
      <c r="W51" s="45">
        <v>3</v>
      </c>
      <c r="X51" s="46"/>
      <c r="Y51" s="47"/>
      <c r="Z51" s="113">
        <v>14100</v>
      </c>
      <c r="AA51" s="114"/>
      <c r="AB51" s="114"/>
      <c r="AC51" s="115"/>
      <c r="AD51" s="51">
        <f t="shared" si="0"/>
        <v>42300</v>
      </c>
      <c r="AE51" s="52"/>
      <c r="AF51" s="52"/>
      <c r="AG51" s="52"/>
      <c r="AH51" s="53"/>
      <c r="AI51" s="28"/>
      <c r="AN51" s="29"/>
    </row>
    <row r="52" spans="2:40" s="1" customFormat="1" ht="34.5" customHeight="1">
      <c r="B52" s="14" t="s">
        <v>85</v>
      </c>
      <c r="C52" s="40" t="s">
        <v>182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2"/>
      <c r="U52" s="43" t="s">
        <v>68</v>
      </c>
      <c r="V52" s="44"/>
      <c r="W52" s="45">
        <v>2</v>
      </c>
      <c r="X52" s="46"/>
      <c r="Y52" s="47"/>
      <c r="Z52" s="113">
        <v>14400</v>
      </c>
      <c r="AA52" s="114"/>
      <c r="AB52" s="114"/>
      <c r="AC52" s="115"/>
      <c r="AD52" s="51">
        <f t="shared" si="0"/>
        <v>28800</v>
      </c>
      <c r="AE52" s="52"/>
      <c r="AF52" s="52"/>
      <c r="AG52" s="52"/>
      <c r="AH52" s="53"/>
      <c r="AI52" s="28"/>
      <c r="AN52" s="29"/>
    </row>
    <row r="53" spans="2:40" s="1" customFormat="1" ht="34.5" customHeight="1">
      <c r="B53" s="14" t="s">
        <v>87</v>
      </c>
      <c r="C53" s="40" t="s">
        <v>183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2"/>
      <c r="U53" s="43" t="s">
        <v>68</v>
      </c>
      <c r="V53" s="44"/>
      <c r="W53" s="45">
        <v>2</v>
      </c>
      <c r="X53" s="46"/>
      <c r="Y53" s="47"/>
      <c r="Z53" s="113">
        <v>12900</v>
      </c>
      <c r="AA53" s="114"/>
      <c r="AB53" s="114"/>
      <c r="AC53" s="115"/>
      <c r="AD53" s="51">
        <f t="shared" si="0"/>
        <v>25800</v>
      </c>
      <c r="AE53" s="52"/>
      <c r="AF53" s="52"/>
      <c r="AG53" s="52"/>
      <c r="AH53" s="53"/>
      <c r="AI53" s="28"/>
      <c r="AN53" s="29"/>
    </row>
    <row r="54" spans="2:40" s="1" customFormat="1" ht="34.5" customHeight="1">
      <c r="B54" s="14" t="s">
        <v>89</v>
      </c>
      <c r="C54" s="40" t="s">
        <v>184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2"/>
      <c r="U54" s="43" t="s">
        <v>68</v>
      </c>
      <c r="V54" s="44"/>
      <c r="W54" s="45">
        <v>2</v>
      </c>
      <c r="X54" s="46"/>
      <c r="Y54" s="47"/>
      <c r="Z54" s="113">
        <v>11700</v>
      </c>
      <c r="AA54" s="114"/>
      <c r="AB54" s="114"/>
      <c r="AC54" s="115"/>
      <c r="AD54" s="51">
        <f t="shared" si="0"/>
        <v>23400</v>
      </c>
      <c r="AE54" s="52"/>
      <c r="AF54" s="52"/>
      <c r="AG54" s="52"/>
      <c r="AH54" s="53"/>
      <c r="AI54" s="28"/>
      <c r="AN54" s="29"/>
    </row>
    <row r="55" spans="2:40" s="1" customFormat="1" ht="34.5" customHeight="1">
      <c r="B55" s="14" t="s">
        <v>91</v>
      </c>
      <c r="C55" s="40" t="s">
        <v>185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2"/>
      <c r="U55" s="43" t="s">
        <v>68</v>
      </c>
      <c r="V55" s="44"/>
      <c r="W55" s="45">
        <v>1</v>
      </c>
      <c r="X55" s="46"/>
      <c r="Y55" s="47"/>
      <c r="Z55" s="113">
        <v>16500</v>
      </c>
      <c r="AA55" s="114"/>
      <c r="AB55" s="114"/>
      <c r="AC55" s="115"/>
      <c r="AD55" s="51">
        <f t="shared" si="0"/>
        <v>16500</v>
      </c>
      <c r="AE55" s="52"/>
      <c r="AF55" s="52"/>
      <c r="AG55" s="52"/>
      <c r="AH55" s="53"/>
      <c r="AI55" s="28"/>
      <c r="AN55" s="29"/>
    </row>
    <row r="56" spans="2:40" s="1" customFormat="1" ht="43.5" customHeight="1">
      <c r="B56" s="14" t="s">
        <v>93</v>
      </c>
      <c r="C56" s="40" t="s">
        <v>186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2"/>
      <c r="U56" s="43" t="s">
        <v>68</v>
      </c>
      <c r="V56" s="44"/>
      <c r="W56" s="45">
        <v>1</v>
      </c>
      <c r="X56" s="46"/>
      <c r="Y56" s="47"/>
      <c r="Z56" s="113">
        <v>6000</v>
      </c>
      <c r="AA56" s="114"/>
      <c r="AB56" s="114"/>
      <c r="AC56" s="115"/>
      <c r="AD56" s="51">
        <f t="shared" si="0"/>
        <v>6000</v>
      </c>
      <c r="AE56" s="52"/>
      <c r="AF56" s="52"/>
      <c r="AG56" s="52"/>
      <c r="AH56" s="53"/>
      <c r="AI56" s="28"/>
      <c r="AN56" s="29"/>
    </row>
    <row r="57" spans="2:40" s="1" customFormat="1" ht="34.5" customHeight="1">
      <c r="B57" s="14" t="s">
        <v>95</v>
      </c>
      <c r="C57" s="40" t="s">
        <v>187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2"/>
      <c r="U57" s="43" t="s">
        <v>68</v>
      </c>
      <c r="V57" s="44"/>
      <c r="W57" s="45">
        <v>2</v>
      </c>
      <c r="X57" s="46"/>
      <c r="Y57" s="47"/>
      <c r="Z57" s="113">
        <v>9000</v>
      </c>
      <c r="AA57" s="114"/>
      <c r="AB57" s="114"/>
      <c r="AC57" s="115"/>
      <c r="AD57" s="51">
        <f t="shared" si="0"/>
        <v>18000</v>
      </c>
      <c r="AE57" s="52"/>
      <c r="AF57" s="52"/>
      <c r="AG57" s="52"/>
      <c r="AH57" s="53"/>
      <c r="AI57" s="28"/>
      <c r="AN57" s="29"/>
    </row>
    <row r="58" spans="2:40" s="1" customFormat="1" ht="34.5" customHeight="1">
      <c r="B58" s="14" t="s">
        <v>97</v>
      </c>
      <c r="C58" s="40" t="s">
        <v>188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2"/>
      <c r="U58" s="43" t="s">
        <v>68</v>
      </c>
      <c r="V58" s="44"/>
      <c r="W58" s="45">
        <v>1</v>
      </c>
      <c r="X58" s="46"/>
      <c r="Y58" s="47"/>
      <c r="Z58" s="113">
        <v>14700</v>
      </c>
      <c r="AA58" s="114"/>
      <c r="AB58" s="114"/>
      <c r="AC58" s="115"/>
      <c r="AD58" s="51">
        <f t="shared" si="0"/>
        <v>14700</v>
      </c>
      <c r="AE58" s="52"/>
      <c r="AF58" s="52"/>
      <c r="AG58" s="52"/>
      <c r="AH58" s="53"/>
      <c r="AI58" s="28"/>
      <c r="AN58" s="29"/>
    </row>
    <row r="59" spans="2:40" s="1" customFormat="1" ht="34.5" customHeight="1">
      <c r="B59" s="14" t="s">
        <v>99</v>
      </c>
      <c r="C59" s="40" t="s">
        <v>189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2"/>
      <c r="U59" s="43" t="s">
        <v>68</v>
      </c>
      <c r="V59" s="44"/>
      <c r="W59" s="45">
        <v>2</v>
      </c>
      <c r="X59" s="46"/>
      <c r="Y59" s="47"/>
      <c r="Z59" s="113">
        <v>19500</v>
      </c>
      <c r="AA59" s="114"/>
      <c r="AB59" s="114"/>
      <c r="AC59" s="115"/>
      <c r="AD59" s="51">
        <f t="shared" si="0"/>
        <v>39000</v>
      </c>
      <c r="AE59" s="52"/>
      <c r="AF59" s="52"/>
      <c r="AG59" s="52"/>
      <c r="AH59" s="53"/>
      <c r="AI59" s="28"/>
      <c r="AN59" s="29"/>
    </row>
    <row r="60" spans="2:40" s="1" customFormat="1" ht="34.5" customHeight="1">
      <c r="B60" s="14" t="s">
        <v>101</v>
      </c>
      <c r="C60" s="40" t="s">
        <v>190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2"/>
      <c r="U60" s="43" t="s">
        <v>68</v>
      </c>
      <c r="V60" s="44"/>
      <c r="W60" s="45">
        <v>1</v>
      </c>
      <c r="X60" s="46"/>
      <c r="Y60" s="47"/>
      <c r="Z60" s="113">
        <v>18000</v>
      </c>
      <c r="AA60" s="114"/>
      <c r="AB60" s="114"/>
      <c r="AC60" s="115"/>
      <c r="AD60" s="51">
        <f t="shared" si="0"/>
        <v>18000</v>
      </c>
      <c r="AE60" s="52"/>
      <c r="AF60" s="52"/>
      <c r="AG60" s="52"/>
      <c r="AH60" s="53"/>
      <c r="AI60" s="28"/>
      <c r="AN60" s="29"/>
    </row>
    <row r="61" spans="2:40" ht="34.5" customHeight="1">
      <c r="B61" s="14" t="s">
        <v>103</v>
      </c>
      <c r="C61" s="40" t="s">
        <v>191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2"/>
      <c r="U61" s="43" t="s">
        <v>68</v>
      </c>
      <c r="V61" s="44"/>
      <c r="W61" s="45">
        <v>4</v>
      </c>
      <c r="X61" s="46"/>
      <c r="Y61" s="47"/>
      <c r="Z61" s="113">
        <v>4500</v>
      </c>
      <c r="AA61" s="114"/>
      <c r="AB61" s="114"/>
      <c r="AC61" s="115"/>
      <c r="AD61" s="51">
        <f t="shared" si="0"/>
        <v>18000</v>
      </c>
      <c r="AE61" s="52"/>
      <c r="AF61" s="52"/>
      <c r="AG61" s="52"/>
      <c r="AH61" s="53"/>
      <c r="AI61" s="28"/>
      <c r="AN61" s="29"/>
    </row>
    <row r="62" spans="2:40" s="1" customFormat="1" ht="34.5" customHeight="1">
      <c r="B62" s="14" t="s">
        <v>105</v>
      </c>
      <c r="C62" s="40" t="s">
        <v>192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2"/>
      <c r="U62" s="43" t="s">
        <v>68</v>
      </c>
      <c r="V62" s="44"/>
      <c r="W62" s="45">
        <v>2</v>
      </c>
      <c r="X62" s="46"/>
      <c r="Y62" s="47"/>
      <c r="Z62" s="113">
        <v>13500</v>
      </c>
      <c r="AA62" s="114"/>
      <c r="AB62" s="114"/>
      <c r="AC62" s="115"/>
      <c r="AD62" s="51">
        <f t="shared" si="0"/>
        <v>27000</v>
      </c>
      <c r="AE62" s="52"/>
      <c r="AF62" s="52"/>
      <c r="AG62" s="52"/>
      <c r="AH62" s="53"/>
      <c r="AI62" s="28"/>
      <c r="AN62" s="29"/>
    </row>
    <row r="63" spans="2:40" s="1" customFormat="1" ht="34.5" customHeight="1">
      <c r="B63" s="14" t="s">
        <v>107</v>
      </c>
      <c r="C63" s="40" t="s">
        <v>193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2"/>
      <c r="U63" s="43" t="s">
        <v>68</v>
      </c>
      <c r="V63" s="44"/>
      <c r="W63" s="45">
        <v>1</v>
      </c>
      <c r="X63" s="46"/>
      <c r="Y63" s="47"/>
      <c r="Z63" s="113">
        <v>10500</v>
      </c>
      <c r="AA63" s="114"/>
      <c r="AB63" s="114"/>
      <c r="AC63" s="115"/>
      <c r="AD63" s="51">
        <f t="shared" si="0"/>
        <v>10500</v>
      </c>
      <c r="AE63" s="52"/>
      <c r="AF63" s="52"/>
      <c r="AG63" s="52"/>
      <c r="AH63" s="53"/>
      <c r="AI63" s="28"/>
      <c r="AN63" s="29"/>
    </row>
    <row r="64" spans="2:40" s="1" customFormat="1" ht="32.25" customHeight="1">
      <c r="B64" s="14" t="s">
        <v>109</v>
      </c>
      <c r="C64" s="40" t="s">
        <v>194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2"/>
      <c r="U64" s="43" t="s">
        <v>68</v>
      </c>
      <c r="V64" s="44"/>
      <c r="W64" s="45">
        <v>3</v>
      </c>
      <c r="X64" s="46"/>
      <c r="Y64" s="47"/>
      <c r="Z64" s="113">
        <v>25200</v>
      </c>
      <c r="AA64" s="114"/>
      <c r="AB64" s="114"/>
      <c r="AC64" s="115"/>
      <c r="AD64" s="51">
        <f t="shared" si="0"/>
        <v>75600</v>
      </c>
      <c r="AE64" s="52"/>
      <c r="AF64" s="52"/>
      <c r="AG64" s="52"/>
      <c r="AH64" s="53"/>
      <c r="AI64" s="28"/>
      <c r="AN64" s="29"/>
    </row>
    <row r="65" spans="2:40" s="1" customFormat="1" ht="39" customHeight="1">
      <c r="B65" s="14" t="s">
        <v>111</v>
      </c>
      <c r="C65" s="40" t="s">
        <v>195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2"/>
      <c r="U65" s="43" t="s">
        <v>68</v>
      </c>
      <c r="V65" s="44"/>
      <c r="W65" s="45">
        <v>2</v>
      </c>
      <c r="X65" s="46"/>
      <c r="Y65" s="47"/>
      <c r="Z65" s="113">
        <v>22800</v>
      </c>
      <c r="AA65" s="114"/>
      <c r="AB65" s="114"/>
      <c r="AC65" s="115"/>
      <c r="AD65" s="51">
        <f t="shared" si="0"/>
        <v>45600</v>
      </c>
      <c r="AE65" s="52"/>
      <c r="AF65" s="52"/>
      <c r="AG65" s="52"/>
      <c r="AH65" s="53"/>
      <c r="AI65" s="28"/>
      <c r="AN65" s="29"/>
    </row>
    <row r="66" spans="2:40" s="1" customFormat="1" ht="40.5" customHeight="1">
      <c r="B66" s="14" t="s">
        <v>113</v>
      </c>
      <c r="C66" s="40" t="s">
        <v>196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2"/>
      <c r="U66" s="43" t="s">
        <v>68</v>
      </c>
      <c r="V66" s="44"/>
      <c r="W66" s="45">
        <v>1</v>
      </c>
      <c r="X66" s="46"/>
      <c r="Y66" s="47"/>
      <c r="Z66" s="113">
        <v>17100</v>
      </c>
      <c r="AA66" s="114"/>
      <c r="AB66" s="114"/>
      <c r="AC66" s="115"/>
      <c r="AD66" s="51">
        <f t="shared" si="0"/>
        <v>17100</v>
      </c>
      <c r="AE66" s="52"/>
      <c r="AF66" s="52"/>
      <c r="AG66" s="52"/>
      <c r="AH66" s="53"/>
      <c r="AI66" s="28"/>
      <c r="AN66" s="29"/>
    </row>
    <row r="67" spans="2:40" s="1" customFormat="1" ht="38.25" customHeight="1">
      <c r="B67" s="14" t="s">
        <v>115</v>
      </c>
      <c r="C67" s="40" t="s">
        <v>197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2"/>
      <c r="U67" s="43" t="s">
        <v>68</v>
      </c>
      <c r="V67" s="44"/>
      <c r="W67" s="45">
        <v>2</v>
      </c>
      <c r="X67" s="46"/>
      <c r="Y67" s="47"/>
      <c r="Z67" s="113">
        <v>19500</v>
      </c>
      <c r="AA67" s="114"/>
      <c r="AB67" s="114"/>
      <c r="AC67" s="115"/>
      <c r="AD67" s="51">
        <f t="shared" si="0"/>
        <v>39000</v>
      </c>
      <c r="AE67" s="52"/>
      <c r="AF67" s="52"/>
      <c r="AG67" s="52"/>
      <c r="AH67" s="53"/>
      <c r="AI67" s="28"/>
      <c r="AN67" s="29"/>
    </row>
    <row r="68" spans="2:40" s="1" customFormat="1" ht="40.5" customHeight="1">
      <c r="B68" s="14" t="s">
        <v>117</v>
      </c>
      <c r="C68" s="40" t="s">
        <v>198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2"/>
      <c r="U68" s="43" t="s">
        <v>68</v>
      </c>
      <c r="V68" s="44"/>
      <c r="W68" s="45">
        <v>1</v>
      </c>
      <c r="X68" s="46"/>
      <c r="Y68" s="47"/>
      <c r="Z68" s="113">
        <v>20100</v>
      </c>
      <c r="AA68" s="114"/>
      <c r="AB68" s="114"/>
      <c r="AC68" s="115"/>
      <c r="AD68" s="51">
        <f t="shared" si="0"/>
        <v>20100</v>
      </c>
      <c r="AE68" s="52"/>
      <c r="AF68" s="52"/>
      <c r="AG68" s="52"/>
      <c r="AH68" s="53"/>
      <c r="AI68" s="28"/>
      <c r="AN68" s="29"/>
    </row>
    <row r="69" spans="2:40" s="1" customFormat="1" ht="42.75" customHeight="1">
      <c r="B69" s="14" t="s">
        <v>119</v>
      </c>
      <c r="C69" s="40" t="s">
        <v>199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2"/>
      <c r="U69" s="43" t="s">
        <v>68</v>
      </c>
      <c r="V69" s="44"/>
      <c r="W69" s="45">
        <v>1</v>
      </c>
      <c r="X69" s="46"/>
      <c r="Y69" s="47"/>
      <c r="Z69" s="113">
        <v>45000</v>
      </c>
      <c r="AA69" s="114"/>
      <c r="AB69" s="114"/>
      <c r="AC69" s="115"/>
      <c r="AD69" s="51">
        <f t="shared" si="0"/>
        <v>45000</v>
      </c>
      <c r="AE69" s="52"/>
      <c r="AF69" s="52"/>
      <c r="AG69" s="52"/>
      <c r="AH69" s="53"/>
      <c r="AI69" s="28"/>
      <c r="AN69" s="29"/>
    </row>
    <row r="70" spans="2:40" s="1" customFormat="1" ht="42.75" customHeight="1">
      <c r="B70" s="14" t="s">
        <v>121</v>
      </c>
      <c r="C70" s="40" t="s">
        <v>200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2"/>
      <c r="U70" s="43" t="s">
        <v>68</v>
      </c>
      <c r="V70" s="44"/>
      <c r="W70" s="45">
        <v>2</v>
      </c>
      <c r="X70" s="46"/>
      <c r="Y70" s="47"/>
      <c r="Z70" s="113">
        <v>6000</v>
      </c>
      <c r="AA70" s="114"/>
      <c r="AB70" s="114"/>
      <c r="AC70" s="115"/>
      <c r="AD70" s="51">
        <f t="shared" si="0"/>
        <v>12000</v>
      </c>
      <c r="AE70" s="52"/>
      <c r="AF70" s="52"/>
      <c r="AG70" s="52"/>
      <c r="AH70" s="53"/>
      <c r="AI70" s="28"/>
      <c r="AN70" s="29"/>
    </row>
    <row r="71" spans="2:40" s="1" customFormat="1" ht="28.5" customHeight="1">
      <c r="B71" s="14" t="s">
        <v>123</v>
      </c>
      <c r="C71" s="40" t="s">
        <v>201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2"/>
      <c r="U71" s="43" t="s">
        <v>68</v>
      </c>
      <c r="V71" s="44"/>
      <c r="W71" s="45">
        <v>11</v>
      </c>
      <c r="X71" s="46"/>
      <c r="Y71" s="47"/>
      <c r="Z71" s="113">
        <v>4050</v>
      </c>
      <c r="AA71" s="114"/>
      <c r="AB71" s="114"/>
      <c r="AC71" s="115"/>
      <c r="AD71" s="51">
        <f t="shared" si="0"/>
        <v>44550</v>
      </c>
      <c r="AE71" s="52"/>
      <c r="AF71" s="52"/>
      <c r="AG71" s="52"/>
      <c r="AH71" s="53"/>
      <c r="AI71" s="28"/>
      <c r="AN71" s="29"/>
    </row>
    <row r="72" spans="2:40" s="1" customFormat="1" ht="28.5" customHeight="1">
      <c r="B72" s="14" t="s">
        <v>125</v>
      </c>
      <c r="C72" s="40" t="s">
        <v>202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2"/>
      <c r="U72" s="43" t="s">
        <v>68</v>
      </c>
      <c r="V72" s="44"/>
      <c r="W72" s="45">
        <v>1</v>
      </c>
      <c r="X72" s="46"/>
      <c r="Y72" s="47"/>
      <c r="Z72" s="113">
        <v>2700</v>
      </c>
      <c r="AA72" s="114"/>
      <c r="AB72" s="114"/>
      <c r="AC72" s="115"/>
      <c r="AD72" s="51">
        <f t="shared" si="0"/>
        <v>2700</v>
      </c>
      <c r="AE72" s="52"/>
      <c r="AF72" s="52"/>
      <c r="AG72" s="52"/>
      <c r="AH72" s="53"/>
      <c r="AI72" s="28"/>
      <c r="AN72" s="29"/>
    </row>
    <row r="73" spans="2:40" s="1" customFormat="1" ht="28.5" customHeight="1">
      <c r="B73" s="14" t="s">
        <v>127</v>
      </c>
      <c r="C73" s="40" t="s">
        <v>203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2"/>
      <c r="U73" s="43" t="s">
        <v>68</v>
      </c>
      <c r="V73" s="44"/>
      <c r="W73" s="45">
        <v>2</v>
      </c>
      <c r="X73" s="46"/>
      <c r="Y73" s="47"/>
      <c r="Z73" s="113">
        <v>2250</v>
      </c>
      <c r="AA73" s="114"/>
      <c r="AB73" s="114"/>
      <c r="AC73" s="115"/>
      <c r="AD73" s="51">
        <f t="shared" si="0"/>
        <v>4500</v>
      </c>
      <c r="AE73" s="52"/>
      <c r="AF73" s="52"/>
      <c r="AG73" s="52"/>
      <c r="AH73" s="53"/>
      <c r="AI73" s="28"/>
      <c r="AN73" s="29"/>
    </row>
    <row r="74" spans="2:40" s="1" customFormat="1" ht="28.5" customHeight="1">
      <c r="B74" s="14" t="s">
        <v>129</v>
      </c>
      <c r="C74" s="40" t="s">
        <v>204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2"/>
      <c r="U74" s="43" t="s">
        <v>131</v>
      </c>
      <c r="V74" s="44"/>
      <c r="W74" s="45">
        <v>1</v>
      </c>
      <c r="X74" s="46"/>
      <c r="Y74" s="47"/>
      <c r="Z74" s="113">
        <v>30000</v>
      </c>
      <c r="AA74" s="114"/>
      <c r="AB74" s="114"/>
      <c r="AC74" s="115"/>
      <c r="AD74" s="51">
        <f t="shared" si="0"/>
        <v>30000</v>
      </c>
      <c r="AE74" s="52"/>
      <c r="AF74" s="52"/>
      <c r="AG74" s="52"/>
      <c r="AH74" s="53"/>
      <c r="AI74" s="28"/>
      <c r="AN74" s="29"/>
    </row>
    <row r="75" spans="2:40" s="1" customFormat="1" ht="40.5" customHeight="1" thickBot="1">
      <c r="B75" s="14" t="s">
        <v>132</v>
      </c>
      <c r="C75" s="82" t="s">
        <v>205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4"/>
      <c r="U75" s="85" t="s">
        <v>26</v>
      </c>
      <c r="V75" s="86"/>
      <c r="W75" s="87">
        <v>32.6</v>
      </c>
      <c r="X75" s="88"/>
      <c r="Y75" s="89"/>
      <c r="Z75" s="90">
        <v>1650</v>
      </c>
      <c r="AA75" s="91"/>
      <c r="AB75" s="91"/>
      <c r="AC75" s="92"/>
      <c r="AD75" s="93">
        <f t="shared" si="0"/>
        <v>53790</v>
      </c>
      <c r="AE75" s="94"/>
      <c r="AF75" s="94"/>
      <c r="AG75" s="94"/>
      <c r="AH75" s="95"/>
      <c r="AI75" s="28"/>
      <c r="AN75" s="29"/>
    </row>
    <row r="76" spans="2:40" s="1" customFormat="1" ht="40.5" customHeight="1" thickBot="1">
      <c r="B76" s="14" t="s">
        <v>207</v>
      </c>
      <c r="C76" s="82" t="s">
        <v>210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4"/>
      <c r="U76" s="85" t="s">
        <v>68</v>
      </c>
      <c r="V76" s="86"/>
      <c r="W76" s="87">
        <v>1</v>
      </c>
      <c r="X76" s="88"/>
      <c r="Y76" s="89"/>
      <c r="Z76" s="90">
        <v>120000</v>
      </c>
      <c r="AA76" s="91"/>
      <c r="AB76" s="91"/>
      <c r="AC76" s="92"/>
      <c r="AD76" s="93">
        <f t="shared" ref="AD76:AD78" si="1">W76*Z76</f>
        <v>120000</v>
      </c>
      <c r="AE76" s="94"/>
      <c r="AF76" s="94"/>
      <c r="AG76" s="94"/>
      <c r="AH76" s="95"/>
      <c r="AI76" s="28"/>
      <c r="AN76" s="29"/>
    </row>
    <row r="77" spans="2:40" s="1" customFormat="1" ht="40.5" customHeight="1" thickBot="1">
      <c r="B77" s="14" t="s">
        <v>208</v>
      </c>
      <c r="C77" s="82" t="s">
        <v>211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4"/>
      <c r="U77" s="85" t="s">
        <v>68</v>
      </c>
      <c r="V77" s="86"/>
      <c r="W77" s="87">
        <v>1</v>
      </c>
      <c r="X77" s="88"/>
      <c r="Y77" s="89"/>
      <c r="Z77" s="90">
        <v>80000</v>
      </c>
      <c r="AA77" s="91"/>
      <c r="AB77" s="91"/>
      <c r="AC77" s="92"/>
      <c r="AD77" s="93">
        <f t="shared" si="1"/>
        <v>80000</v>
      </c>
      <c r="AE77" s="94"/>
      <c r="AF77" s="94"/>
      <c r="AG77" s="94"/>
      <c r="AH77" s="95"/>
      <c r="AI77" s="28"/>
      <c r="AN77" s="29"/>
    </row>
    <row r="78" spans="2:40" s="1" customFormat="1" ht="40.5" customHeight="1" thickBot="1">
      <c r="B78" s="14" t="s">
        <v>209</v>
      </c>
      <c r="C78" s="82" t="s">
        <v>212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4"/>
      <c r="U78" s="85" t="s">
        <v>68</v>
      </c>
      <c r="V78" s="86"/>
      <c r="W78" s="87">
        <v>1</v>
      </c>
      <c r="X78" s="88"/>
      <c r="Y78" s="89"/>
      <c r="Z78" s="90">
        <v>10000</v>
      </c>
      <c r="AA78" s="91"/>
      <c r="AB78" s="91"/>
      <c r="AC78" s="92"/>
      <c r="AD78" s="93">
        <f t="shared" si="1"/>
        <v>10000</v>
      </c>
      <c r="AE78" s="94"/>
      <c r="AF78" s="94"/>
      <c r="AG78" s="94"/>
      <c r="AH78" s="95"/>
      <c r="AI78" s="28"/>
      <c r="AN78" s="29"/>
    </row>
    <row r="79" spans="2:40" s="3" customFormat="1" ht="22.5" customHeight="1"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36"/>
      <c r="Z79" s="117" t="s">
        <v>134</v>
      </c>
      <c r="AA79" s="118"/>
      <c r="AB79" s="118"/>
      <c r="AC79" s="119"/>
      <c r="AD79" s="120">
        <f>SUM(AD23:AH78)</f>
        <v>4476952.0500000007</v>
      </c>
      <c r="AE79" s="121"/>
      <c r="AF79" s="121"/>
      <c r="AG79" s="121"/>
      <c r="AH79" s="122"/>
    </row>
    <row r="80" spans="2:40" s="3" customFormat="1" ht="22.5" customHeight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6"/>
      <c r="Z80" s="117" t="s">
        <v>213</v>
      </c>
      <c r="AA80" s="118"/>
      <c r="AB80" s="118"/>
      <c r="AC80" s="119"/>
      <c r="AD80" s="120">
        <f>+AD79*0%</f>
        <v>0</v>
      </c>
      <c r="AE80" s="121"/>
      <c r="AF80" s="121"/>
      <c r="AG80" s="121"/>
      <c r="AH80" s="122"/>
    </row>
    <row r="81" spans="2:47" s="3" customFormat="1" ht="22.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6"/>
      <c r="Z81" s="117" t="s">
        <v>134</v>
      </c>
      <c r="AA81" s="118"/>
      <c r="AB81" s="118"/>
      <c r="AC81" s="119"/>
      <c r="AD81" s="120">
        <f>+AD79-AD80</f>
        <v>4476952.0500000007</v>
      </c>
      <c r="AE81" s="121"/>
      <c r="AF81" s="121"/>
      <c r="AG81" s="121"/>
      <c r="AH81" s="122"/>
    </row>
    <row r="82" spans="2:47" s="3" customFormat="1" ht="22.5" customHeight="1">
      <c r="B82" s="133" t="s">
        <v>136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33"/>
      <c r="Y82" s="33"/>
      <c r="Z82" s="135" t="s">
        <v>137</v>
      </c>
      <c r="AA82" s="136"/>
      <c r="AB82" s="136"/>
      <c r="AC82" s="137"/>
      <c r="AD82" s="138">
        <f>AD81*0.19</f>
        <v>850620.88950000016</v>
      </c>
      <c r="AE82" s="139"/>
      <c r="AF82" s="139"/>
      <c r="AG82" s="139"/>
      <c r="AH82" s="140"/>
    </row>
    <row r="83" spans="2:47" s="3" customFormat="1" ht="35.25" customHeight="1" thickBot="1">
      <c r="B83" s="123" t="s">
        <v>214</v>
      </c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33"/>
      <c r="Y83" s="33"/>
      <c r="Z83" s="124" t="s">
        <v>138</v>
      </c>
      <c r="AA83" s="125"/>
      <c r="AB83" s="125"/>
      <c r="AC83" s="126"/>
      <c r="AD83" s="127">
        <f>AD81+AD82</f>
        <v>5327572.9395000013</v>
      </c>
      <c r="AE83" s="128"/>
      <c r="AF83" s="128"/>
      <c r="AG83" s="128"/>
      <c r="AH83" s="129"/>
    </row>
    <row r="84" spans="2:47" s="3" customFormat="1" ht="22.5" customHeight="1">
      <c r="B84" s="130" t="s">
        <v>139</v>
      </c>
      <c r="C84" s="130"/>
      <c r="D84" s="130"/>
      <c r="E84" s="130"/>
      <c r="F84" s="130"/>
      <c r="G84" s="130"/>
      <c r="H84" s="131"/>
      <c r="I84" s="131"/>
      <c r="J84" s="131"/>
      <c r="K84" s="131"/>
      <c r="L84" s="131"/>
      <c r="M84" s="131"/>
      <c r="N84" s="131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7"/>
      <c r="AA84" s="37"/>
      <c r="AB84" s="37"/>
      <c r="AC84" s="37"/>
      <c r="AD84" s="38"/>
      <c r="AE84" s="38"/>
      <c r="AF84" s="38"/>
      <c r="AG84" s="38"/>
      <c r="AH84" s="38"/>
    </row>
    <row r="85" spans="2:47"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32"/>
      <c r="S85" s="3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2:47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2"/>
      <c r="M86" s="32"/>
      <c r="N86" s="32"/>
      <c r="O86" s="32"/>
      <c r="P86" s="32"/>
      <c r="Q86" s="32"/>
      <c r="R86" s="32"/>
      <c r="S86" s="32"/>
      <c r="T86" s="31"/>
      <c r="U86" s="31"/>
      <c r="V86" s="31"/>
      <c r="W86" s="31"/>
      <c r="X86" s="31"/>
      <c r="Y86" s="31"/>
      <c r="Z86" s="31"/>
      <c r="AA86" s="31"/>
      <c r="AB86" s="32"/>
      <c r="AC86" s="32"/>
      <c r="AD86" s="32"/>
      <c r="AE86" s="32"/>
      <c r="AF86" s="32"/>
      <c r="AG86" s="32"/>
      <c r="AH86" s="3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2:47" ht="15.75" thickBo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  <c r="M87" s="32"/>
      <c r="N87" s="32"/>
      <c r="O87" s="32"/>
      <c r="P87" s="32"/>
      <c r="Q87" s="32"/>
      <c r="R87" s="32"/>
      <c r="S87" s="32"/>
      <c r="T87" s="34" t="s">
        <v>140</v>
      </c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9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2:47" ht="15.75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  <c r="M88" s="32"/>
      <c r="N88" s="32"/>
      <c r="O88" s="32"/>
      <c r="P88" s="32"/>
      <c r="Q88" s="32"/>
      <c r="R88" s="32"/>
      <c r="S88" s="32"/>
      <c r="T88" s="35" t="s">
        <v>141</v>
      </c>
      <c r="U88" s="35"/>
      <c r="V88" s="35"/>
      <c r="W88" s="35"/>
      <c r="X88" s="35"/>
      <c r="Y88" s="35"/>
      <c r="Z88" s="35"/>
      <c r="AA88" s="35"/>
      <c r="AB88" s="6"/>
      <c r="AC88" s="6"/>
      <c r="AD88" s="6"/>
      <c r="AE88" s="6"/>
      <c r="AF88" s="6"/>
      <c r="AG88" s="6"/>
      <c r="AH88" s="3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2:47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  <c r="M89" s="32"/>
      <c r="N89" s="32"/>
      <c r="O89" s="32"/>
      <c r="P89" s="32"/>
      <c r="Q89" s="32"/>
      <c r="R89" s="32"/>
      <c r="S89" s="32"/>
      <c r="T89" s="31"/>
      <c r="U89" s="31"/>
      <c r="V89" s="31"/>
      <c r="W89" s="31"/>
      <c r="X89" s="31"/>
      <c r="Y89" s="31"/>
      <c r="Z89" s="31"/>
      <c r="AA89" s="31"/>
      <c r="AB89" s="32"/>
      <c r="AC89" s="32"/>
      <c r="AD89" s="32"/>
      <c r="AE89" s="32"/>
      <c r="AF89" s="32"/>
      <c r="AG89" s="32"/>
      <c r="AH89" s="3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2:47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  <c r="M90" s="32"/>
      <c r="N90" s="32"/>
      <c r="O90" s="32"/>
      <c r="P90" s="32"/>
      <c r="Q90" s="32"/>
      <c r="R90" s="32"/>
      <c r="S90" s="32"/>
      <c r="T90" s="31"/>
      <c r="U90" s="31"/>
      <c r="V90" s="31"/>
      <c r="W90" s="31"/>
      <c r="X90" s="31"/>
      <c r="Y90" s="31"/>
      <c r="Z90" s="31"/>
      <c r="AA90" s="31"/>
      <c r="AB90" s="32"/>
      <c r="AC90" s="32"/>
      <c r="AD90" s="32"/>
      <c r="AE90" s="32"/>
      <c r="AF90" s="32"/>
      <c r="AG90" s="32"/>
      <c r="AH90" s="3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2:47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  <c r="M91" s="32"/>
      <c r="N91" s="32"/>
      <c r="O91" s="32"/>
      <c r="P91" s="32"/>
      <c r="Q91" s="32"/>
      <c r="R91" s="32"/>
      <c r="S91" s="32"/>
      <c r="T91" s="31"/>
      <c r="U91" s="31"/>
      <c r="V91" s="31"/>
      <c r="W91" s="31"/>
      <c r="X91" s="31"/>
      <c r="Y91" s="31"/>
      <c r="Z91" s="31"/>
      <c r="AA91" s="31"/>
      <c r="AB91" s="32"/>
      <c r="AC91" s="32"/>
      <c r="AD91" s="32"/>
      <c r="AE91" s="32"/>
      <c r="AF91" s="32"/>
      <c r="AG91" s="32"/>
      <c r="AH91" s="32"/>
      <c r="AK91" s="31"/>
      <c r="AL91" s="31"/>
      <c r="AM91" s="32"/>
      <c r="AN91" s="32"/>
      <c r="AO91" s="32"/>
      <c r="AP91" s="32"/>
      <c r="AQ91" s="32"/>
      <c r="AR91" s="32"/>
      <c r="AS91" s="32"/>
    </row>
    <row r="92" spans="2:47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K92" s="32"/>
      <c r="AL92" s="32"/>
      <c r="AM92" s="32"/>
      <c r="AN92" s="32"/>
      <c r="AO92" s="32"/>
      <c r="AP92" s="32"/>
      <c r="AQ92" s="32"/>
      <c r="AR92" s="32"/>
      <c r="AS92" s="32"/>
    </row>
    <row r="93" spans="2:47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K93" s="32"/>
      <c r="AL93" s="32"/>
      <c r="AM93" s="32"/>
      <c r="AN93" s="32"/>
      <c r="AO93" s="32"/>
      <c r="AP93" s="32"/>
      <c r="AQ93" s="32"/>
      <c r="AR93" s="32"/>
      <c r="AS93" s="32"/>
    </row>
    <row r="94" spans="2:47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K94" s="32"/>
      <c r="AL94" s="32"/>
      <c r="AM94" s="32"/>
      <c r="AN94" s="32"/>
      <c r="AO94" s="32"/>
      <c r="AP94" s="32"/>
      <c r="AQ94" s="32"/>
      <c r="AR94" s="32"/>
      <c r="AS94" s="32"/>
    </row>
    <row r="95" spans="2:47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K95" s="32"/>
      <c r="AL95" s="32"/>
      <c r="AM95" s="32"/>
      <c r="AN95" s="32"/>
      <c r="AO95" s="32"/>
      <c r="AP95" s="32"/>
      <c r="AQ95" s="32"/>
      <c r="AR95" s="32"/>
      <c r="AS95" s="32"/>
    </row>
  </sheetData>
  <mergeCells count="333">
    <mergeCell ref="B83:W83"/>
    <mergeCell ref="Z83:AC83"/>
    <mergeCell ref="AD83:AH83"/>
    <mergeCell ref="B84:G84"/>
    <mergeCell ref="H84:N84"/>
    <mergeCell ref="B85:Q85"/>
    <mergeCell ref="Z80:AC80"/>
    <mergeCell ref="AD80:AH80"/>
    <mergeCell ref="Z81:AC81"/>
    <mergeCell ref="AD81:AH81"/>
    <mergeCell ref="B82:W82"/>
    <mergeCell ref="Z82:AC82"/>
    <mergeCell ref="AD82:AH82"/>
    <mergeCell ref="B79:X79"/>
    <mergeCell ref="Z79:AC79"/>
    <mergeCell ref="AD79:AH79"/>
    <mergeCell ref="C73:T73"/>
    <mergeCell ref="U73:V73"/>
    <mergeCell ref="W73:Y73"/>
    <mergeCell ref="Z73:AC73"/>
    <mergeCell ref="AD73:AH73"/>
    <mergeCell ref="C74:T74"/>
    <mergeCell ref="U74:V74"/>
    <mergeCell ref="W74:Y74"/>
    <mergeCell ref="Z74:AC74"/>
    <mergeCell ref="AD74:AH74"/>
    <mergeCell ref="C77:T77"/>
    <mergeCell ref="U77:V77"/>
    <mergeCell ref="W77:Y77"/>
    <mergeCell ref="Z77:AC77"/>
    <mergeCell ref="AD77:AH77"/>
    <mergeCell ref="C78:T78"/>
    <mergeCell ref="U78:V78"/>
    <mergeCell ref="W78:Y78"/>
    <mergeCell ref="Z78:AC78"/>
    <mergeCell ref="AD78:AH78"/>
    <mergeCell ref="C72:T72"/>
    <mergeCell ref="U72:V72"/>
    <mergeCell ref="W72:Y72"/>
    <mergeCell ref="Z72:AC72"/>
    <mergeCell ref="AD72:AH72"/>
    <mergeCell ref="C75:T75"/>
    <mergeCell ref="U75:V75"/>
    <mergeCell ref="W75:Y75"/>
    <mergeCell ref="Z75:AC75"/>
    <mergeCell ref="AD75:AH75"/>
    <mergeCell ref="C70:T70"/>
    <mergeCell ref="U70:V70"/>
    <mergeCell ref="W70:Y70"/>
    <mergeCell ref="Z70:AC70"/>
    <mergeCell ref="AD70:AH70"/>
    <mergeCell ref="C71:T71"/>
    <mergeCell ref="U71:V71"/>
    <mergeCell ref="W71:Y71"/>
    <mergeCell ref="Z71:AC71"/>
    <mergeCell ref="AD71:AH71"/>
    <mergeCell ref="C68:T68"/>
    <mergeCell ref="U68:V68"/>
    <mergeCell ref="W68:Y68"/>
    <mergeCell ref="Z68:AC68"/>
    <mergeCell ref="AD68:AH68"/>
    <mergeCell ref="C69:T69"/>
    <mergeCell ref="U69:V69"/>
    <mergeCell ref="W69:Y69"/>
    <mergeCell ref="Z69:AC69"/>
    <mergeCell ref="AD69:AH69"/>
    <mergeCell ref="C66:T66"/>
    <mergeCell ref="U66:V66"/>
    <mergeCell ref="W66:Y66"/>
    <mergeCell ref="Z66:AC66"/>
    <mergeCell ref="AD66:AH66"/>
    <mergeCell ref="C67:T67"/>
    <mergeCell ref="U67:V67"/>
    <mergeCell ref="W67:Y67"/>
    <mergeCell ref="Z67:AC67"/>
    <mergeCell ref="AD67:AH67"/>
    <mergeCell ref="C64:T64"/>
    <mergeCell ref="U64:V64"/>
    <mergeCell ref="W64:Y64"/>
    <mergeCell ref="Z64:AC64"/>
    <mergeCell ref="AD64:AH64"/>
    <mergeCell ref="C65:T65"/>
    <mergeCell ref="U65:V65"/>
    <mergeCell ref="W65:Y65"/>
    <mergeCell ref="Z65:AC65"/>
    <mergeCell ref="AD65:AH65"/>
    <mergeCell ref="C62:T62"/>
    <mergeCell ref="U62:V62"/>
    <mergeCell ref="W62:Y62"/>
    <mergeCell ref="Z62:AC62"/>
    <mergeCell ref="AD62:AH62"/>
    <mergeCell ref="C63:T63"/>
    <mergeCell ref="U63:V63"/>
    <mergeCell ref="W63:Y63"/>
    <mergeCell ref="Z63:AC63"/>
    <mergeCell ref="AD63:AH63"/>
    <mergeCell ref="C60:T60"/>
    <mergeCell ref="U60:V60"/>
    <mergeCell ref="W60:Y60"/>
    <mergeCell ref="Z60:AC60"/>
    <mergeCell ref="AD60:AH60"/>
    <mergeCell ref="C61:T61"/>
    <mergeCell ref="U61:V61"/>
    <mergeCell ref="W61:Y61"/>
    <mergeCell ref="Z61:AC61"/>
    <mergeCell ref="AD61:AH61"/>
    <mergeCell ref="C58:T58"/>
    <mergeCell ref="U58:V58"/>
    <mergeCell ref="W58:Y58"/>
    <mergeCell ref="Z58:AC58"/>
    <mergeCell ref="AD58:AH58"/>
    <mergeCell ref="C59:T59"/>
    <mergeCell ref="U59:V59"/>
    <mergeCell ref="W59:Y59"/>
    <mergeCell ref="Z59:AC59"/>
    <mergeCell ref="AD59:AH59"/>
    <mergeCell ref="C56:T56"/>
    <mergeCell ref="U56:V56"/>
    <mergeCell ref="W56:Y56"/>
    <mergeCell ref="Z56:AC56"/>
    <mergeCell ref="AD56:AH56"/>
    <mergeCell ref="C57:T57"/>
    <mergeCell ref="U57:V57"/>
    <mergeCell ref="W57:Y57"/>
    <mergeCell ref="Z57:AC57"/>
    <mergeCell ref="AD57:AH57"/>
    <mergeCell ref="C54:T54"/>
    <mergeCell ref="U54:V54"/>
    <mergeCell ref="W54:Y54"/>
    <mergeCell ref="Z54:AC54"/>
    <mergeCell ref="AD54:AH54"/>
    <mergeCell ref="C55:T55"/>
    <mergeCell ref="U55:V55"/>
    <mergeCell ref="W55:Y55"/>
    <mergeCell ref="Z55:AC55"/>
    <mergeCell ref="AD55:AH55"/>
    <mergeCell ref="C52:T52"/>
    <mergeCell ref="U52:V52"/>
    <mergeCell ref="W52:Y52"/>
    <mergeCell ref="Z52:AC52"/>
    <mergeCell ref="AD52:AH52"/>
    <mergeCell ref="C53:T53"/>
    <mergeCell ref="U53:V53"/>
    <mergeCell ref="W53:Y53"/>
    <mergeCell ref="Z53:AC53"/>
    <mergeCell ref="AD53:AH53"/>
    <mergeCell ref="C50:T50"/>
    <mergeCell ref="U50:V50"/>
    <mergeCell ref="W50:Y50"/>
    <mergeCell ref="Z50:AC50"/>
    <mergeCell ref="AD50:AH50"/>
    <mergeCell ref="C51:T51"/>
    <mergeCell ref="U51:V51"/>
    <mergeCell ref="W51:Y51"/>
    <mergeCell ref="Z51:AC51"/>
    <mergeCell ref="AD51:AH51"/>
    <mergeCell ref="C48:T48"/>
    <mergeCell ref="U48:V48"/>
    <mergeCell ref="W48:Y48"/>
    <mergeCell ref="Z48:AC48"/>
    <mergeCell ref="AD48:AH48"/>
    <mergeCell ref="C49:T49"/>
    <mergeCell ref="U49:V49"/>
    <mergeCell ref="W49:Y49"/>
    <mergeCell ref="Z49:AC49"/>
    <mergeCell ref="AD49:AH49"/>
    <mergeCell ref="C46:T46"/>
    <mergeCell ref="U46:V46"/>
    <mergeCell ref="W46:Y46"/>
    <mergeCell ref="Z46:AC46"/>
    <mergeCell ref="AD46:AH46"/>
    <mergeCell ref="C47:T47"/>
    <mergeCell ref="U47:V47"/>
    <mergeCell ref="W47:Y47"/>
    <mergeCell ref="Z47:AC47"/>
    <mergeCell ref="AD47:AH47"/>
    <mergeCell ref="C44:T44"/>
    <mergeCell ref="U44:V44"/>
    <mergeCell ref="W44:Y44"/>
    <mergeCell ref="Z44:AC44"/>
    <mergeCell ref="AD44:AH44"/>
    <mergeCell ref="C45:T45"/>
    <mergeCell ref="U45:V45"/>
    <mergeCell ref="W45:Y45"/>
    <mergeCell ref="Z45:AC45"/>
    <mergeCell ref="AD45:AH45"/>
    <mergeCell ref="C42:T42"/>
    <mergeCell ref="U42:V42"/>
    <mergeCell ref="W42:Y42"/>
    <mergeCell ref="Z42:AC42"/>
    <mergeCell ref="AD42:AH42"/>
    <mergeCell ref="C43:T43"/>
    <mergeCell ref="U43:V43"/>
    <mergeCell ref="W43:Y43"/>
    <mergeCell ref="Z43:AC43"/>
    <mergeCell ref="AD43:AH43"/>
    <mergeCell ref="C40:T40"/>
    <mergeCell ref="U40:V40"/>
    <mergeCell ref="W40:Y40"/>
    <mergeCell ref="Z40:AC40"/>
    <mergeCell ref="AD40:AH40"/>
    <mergeCell ref="C41:T41"/>
    <mergeCell ref="U41:V41"/>
    <mergeCell ref="W41:Y41"/>
    <mergeCell ref="Z41:AC41"/>
    <mergeCell ref="AD41:AH41"/>
    <mergeCell ref="C38:T38"/>
    <mergeCell ref="U38:V38"/>
    <mergeCell ref="W38:Y38"/>
    <mergeCell ref="Z38:AC38"/>
    <mergeCell ref="AD38:AH38"/>
    <mergeCell ref="C39:T39"/>
    <mergeCell ref="U39:V39"/>
    <mergeCell ref="W39:Y39"/>
    <mergeCell ref="Z39:AC39"/>
    <mergeCell ref="AD39:AH39"/>
    <mergeCell ref="C36:T36"/>
    <mergeCell ref="U36:V36"/>
    <mergeCell ref="W36:Y36"/>
    <mergeCell ref="Z36:AC36"/>
    <mergeCell ref="AD36:AH36"/>
    <mergeCell ref="C37:T37"/>
    <mergeCell ref="U37:V37"/>
    <mergeCell ref="W37:Y37"/>
    <mergeCell ref="Z37:AC37"/>
    <mergeCell ref="AD37:AH37"/>
    <mergeCell ref="C34:T34"/>
    <mergeCell ref="U34:V34"/>
    <mergeCell ref="W34:Y34"/>
    <mergeCell ref="Z34:AC34"/>
    <mergeCell ref="AD34:AH34"/>
    <mergeCell ref="C35:T35"/>
    <mergeCell ref="U35:V35"/>
    <mergeCell ref="W35:Y35"/>
    <mergeCell ref="Z35:AC35"/>
    <mergeCell ref="AD35:AH35"/>
    <mergeCell ref="C32:T32"/>
    <mergeCell ref="U32:V32"/>
    <mergeCell ref="W32:Y32"/>
    <mergeCell ref="Z32:AC32"/>
    <mergeCell ref="AD32:AH32"/>
    <mergeCell ref="C33:T33"/>
    <mergeCell ref="U33:V33"/>
    <mergeCell ref="W33:Y33"/>
    <mergeCell ref="Z33:AC33"/>
    <mergeCell ref="AD33:AH33"/>
    <mergeCell ref="C30:T30"/>
    <mergeCell ref="U30:V30"/>
    <mergeCell ref="W30:Y30"/>
    <mergeCell ref="Z30:AC30"/>
    <mergeCell ref="AD30:AH30"/>
    <mergeCell ref="C31:T31"/>
    <mergeCell ref="U31:V31"/>
    <mergeCell ref="W31:Y31"/>
    <mergeCell ref="Z31:AC31"/>
    <mergeCell ref="AD31:AH31"/>
    <mergeCell ref="C28:T28"/>
    <mergeCell ref="U28:V28"/>
    <mergeCell ref="W28:Y28"/>
    <mergeCell ref="Z28:AC28"/>
    <mergeCell ref="AD28:AH28"/>
    <mergeCell ref="C29:T29"/>
    <mergeCell ref="U29:V29"/>
    <mergeCell ref="W29:Y29"/>
    <mergeCell ref="Z29:AC29"/>
    <mergeCell ref="AD29:AH29"/>
    <mergeCell ref="C26:T26"/>
    <mergeCell ref="U26:V26"/>
    <mergeCell ref="W26:Y26"/>
    <mergeCell ref="Z26:AC26"/>
    <mergeCell ref="AD26:AH26"/>
    <mergeCell ref="C27:T27"/>
    <mergeCell ref="U27:V27"/>
    <mergeCell ref="W27:Y27"/>
    <mergeCell ref="Z27:AC27"/>
    <mergeCell ref="AD27:AH27"/>
    <mergeCell ref="B8:B9"/>
    <mergeCell ref="I8:O8"/>
    <mergeCell ref="I9:S9"/>
    <mergeCell ref="C76:T76"/>
    <mergeCell ref="U76:V76"/>
    <mergeCell ref="W76:Y76"/>
    <mergeCell ref="Z76:AC76"/>
    <mergeCell ref="AD76:AH76"/>
    <mergeCell ref="AC15:AH15"/>
    <mergeCell ref="J10:AE10"/>
    <mergeCell ref="B11:G11"/>
    <mergeCell ref="S11:X11"/>
    <mergeCell ref="Y11:AB11"/>
    <mergeCell ref="AC11:AH11"/>
    <mergeCell ref="B12:O12"/>
    <mergeCell ref="S12:U12"/>
    <mergeCell ref="V12:AD12"/>
    <mergeCell ref="B16:C16"/>
    <mergeCell ref="E16:O16"/>
    <mergeCell ref="S16:AB16"/>
    <mergeCell ref="B17:C17"/>
    <mergeCell ref="E17:O17"/>
    <mergeCell ref="Y17:AB17"/>
    <mergeCell ref="B13:D14"/>
    <mergeCell ref="I1:AD4"/>
    <mergeCell ref="I5:R5"/>
    <mergeCell ref="I6:Q6"/>
    <mergeCell ref="V6:AC6"/>
    <mergeCell ref="I7:P7"/>
    <mergeCell ref="E13:O14"/>
    <mergeCell ref="C23:T23"/>
    <mergeCell ref="U23:V23"/>
    <mergeCell ref="W23:Y23"/>
    <mergeCell ref="Z23:AC23"/>
    <mergeCell ref="AD23:AH23"/>
    <mergeCell ref="B15:D15"/>
    <mergeCell ref="E15:O15"/>
    <mergeCell ref="S15:AB15"/>
    <mergeCell ref="AC17:AH17"/>
    <mergeCell ref="B18:C18"/>
    <mergeCell ref="E18:O18"/>
    <mergeCell ref="Y18:AB18"/>
    <mergeCell ref="C22:T22"/>
    <mergeCell ref="U22:V22"/>
    <mergeCell ref="W22:Y22"/>
    <mergeCell ref="Z22:AC22"/>
    <mergeCell ref="AD22:AH22"/>
    <mergeCell ref="C24:T24"/>
    <mergeCell ref="U24:V24"/>
    <mergeCell ref="W24:Y24"/>
    <mergeCell ref="Z24:AC24"/>
    <mergeCell ref="AD24:AH24"/>
    <mergeCell ref="C25:T25"/>
    <mergeCell ref="U25:V25"/>
    <mergeCell ref="W25:Y25"/>
    <mergeCell ref="Z25:AC25"/>
    <mergeCell ref="AD25:AH25"/>
  </mergeCells>
  <pageMargins left="0.7" right="0.7" top="0.75" bottom="0.75" header="0.3" footer="0.3"/>
  <pageSetup paperSize="9" scale="52" orientation="portrait" horizontalDpi="1200" verticalDpi="1200" r:id="rId1"/>
  <colBreaks count="2" manualBreakCount="2">
    <brk id="35" max="84" man="1"/>
    <brk id="3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65D5-447C-4752-BF57-7CF13F123DFD}">
  <dimension ref="B1:AU93"/>
  <sheetViews>
    <sheetView view="pageLayout" topLeftCell="A77" zoomScale="91" zoomScaleNormal="70" zoomScaleSheetLayoutView="70" zoomScalePageLayoutView="91" workbookViewId="0">
      <selection activeCell="C90" sqref="C90"/>
    </sheetView>
  </sheetViews>
  <sheetFormatPr baseColWidth="10" defaultColWidth="10.7109375" defaultRowHeight="15"/>
  <cols>
    <col min="1" max="1" width="5.28515625" customWidth="1"/>
    <col min="2" max="2" width="10.7109375" customWidth="1"/>
    <col min="3" max="6" width="2.85546875" customWidth="1"/>
    <col min="7" max="7" width="2.28515625" customWidth="1"/>
    <col min="8" max="9" width="2.85546875" customWidth="1"/>
    <col min="10" max="10" width="2.28515625" customWidth="1"/>
    <col min="11" max="11" width="0.140625" hidden="1" customWidth="1"/>
    <col min="12" max="12" width="4.42578125" customWidth="1"/>
    <col min="13" max="13" width="6.85546875" customWidth="1"/>
    <col min="14" max="14" width="7.140625" customWidth="1"/>
    <col min="15" max="16" width="2.85546875" customWidth="1"/>
    <col min="17" max="17" width="5.7109375" customWidth="1"/>
    <col min="18" max="18" width="6.28515625" customWidth="1"/>
    <col min="19" max="19" width="4.42578125" customWidth="1"/>
    <col min="20" max="20" width="17.140625" customWidth="1"/>
    <col min="21" max="21" width="4.5703125" customWidth="1"/>
    <col min="22" max="22" width="6" customWidth="1"/>
    <col min="23" max="23" width="2.85546875" customWidth="1"/>
    <col min="24" max="24" width="8.28515625" customWidth="1"/>
    <col min="25" max="25" width="3" customWidth="1"/>
    <col min="26" max="26" width="4.85546875" customWidth="1"/>
    <col min="27" max="27" width="2.28515625" customWidth="1"/>
    <col min="28" max="28" width="3.5703125" customWidth="1"/>
    <col min="29" max="29" width="6.7109375" customWidth="1"/>
    <col min="30" max="30" width="3.140625" customWidth="1"/>
    <col min="31" max="31" width="2.85546875" customWidth="1"/>
    <col min="32" max="32" width="3.42578125" customWidth="1"/>
    <col min="33" max="33" width="1.85546875" customWidth="1"/>
    <col min="34" max="34" width="5.7109375" customWidth="1"/>
    <col min="35" max="35" width="2.85546875" customWidth="1"/>
    <col min="36" max="36" width="6.7109375" customWidth="1"/>
    <col min="37" max="37" width="4.85546875" customWidth="1"/>
    <col min="38" max="38" width="2.28515625" customWidth="1"/>
    <col min="39" max="39" width="3.5703125" customWidth="1"/>
    <col min="40" max="40" width="14" customWidth="1"/>
    <col min="41" max="41" width="3.140625" customWidth="1"/>
    <col min="42" max="42" width="2.85546875" customWidth="1"/>
    <col min="43" max="43" width="3.42578125" customWidth="1"/>
    <col min="44" max="44" width="1.85546875" customWidth="1"/>
    <col min="45" max="45" width="5.7109375" customWidth="1"/>
    <col min="46" max="46" width="2.85546875" customWidth="1"/>
    <col min="47" max="47" width="6.85546875" customWidth="1"/>
    <col min="48" max="51" width="2.85546875" customWidth="1"/>
    <col min="52" max="52" width="6.28515625" customWidth="1"/>
    <col min="53" max="54" width="2.85546875" customWidth="1"/>
  </cols>
  <sheetData>
    <row r="1" spans="2:34" ht="22.5" customHeight="1">
      <c r="I1" s="54" t="s">
        <v>153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  <c r="AE1" s="22"/>
    </row>
    <row r="2" spans="2:34" ht="15" customHeight="1">
      <c r="I2" s="57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9"/>
      <c r="AE2" s="22"/>
    </row>
    <row r="3" spans="2:34" ht="17.25" customHeight="1"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9"/>
      <c r="AE3" s="23"/>
      <c r="AG3" s="6"/>
    </row>
    <row r="4" spans="2:34" ht="18.600000000000001" customHeight="1" thickBot="1"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2"/>
      <c r="AE4" s="4"/>
      <c r="AF4" s="23"/>
      <c r="AG4" s="6"/>
    </row>
    <row r="5" spans="2:34" ht="18.600000000000001" customHeight="1">
      <c r="I5" s="63" t="s">
        <v>149</v>
      </c>
      <c r="J5" s="63"/>
      <c r="K5" s="63"/>
      <c r="L5" s="63"/>
      <c r="M5" s="63"/>
      <c r="N5" s="63"/>
      <c r="O5" s="63"/>
      <c r="P5" s="63"/>
      <c r="Q5" s="63"/>
      <c r="R5" s="63"/>
      <c r="AG5" s="5"/>
    </row>
    <row r="6" spans="2:34">
      <c r="I6" s="63" t="s">
        <v>150</v>
      </c>
      <c r="J6" s="63"/>
      <c r="K6" s="63"/>
      <c r="L6" s="63"/>
      <c r="M6" s="63"/>
      <c r="N6" s="63"/>
      <c r="O6" s="63"/>
      <c r="P6" s="63"/>
      <c r="Q6" s="63"/>
      <c r="R6" s="5"/>
      <c r="S6" s="5"/>
      <c r="T6" s="5"/>
      <c r="U6" s="5"/>
      <c r="V6" s="64"/>
      <c r="W6" s="64"/>
      <c r="X6" s="64"/>
      <c r="Y6" s="64"/>
      <c r="Z6" s="64"/>
      <c r="AA6" s="64"/>
      <c r="AB6" s="64"/>
      <c r="AC6" s="64"/>
      <c r="AD6" s="5"/>
      <c r="AE6" s="5"/>
      <c r="AF6" s="5"/>
      <c r="AG6" s="5"/>
      <c r="AH6" s="9"/>
    </row>
    <row r="7" spans="2:34">
      <c r="I7" s="63" t="s">
        <v>151</v>
      </c>
      <c r="J7" s="63"/>
      <c r="K7" s="63"/>
      <c r="L7" s="63"/>
      <c r="M7" s="63"/>
      <c r="N7" s="63"/>
      <c r="O7" s="63"/>
      <c r="P7" s="6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8"/>
    </row>
    <row r="8" spans="2:34">
      <c r="B8" s="80" t="s">
        <v>1</v>
      </c>
      <c r="C8" s="4" t="s">
        <v>2</v>
      </c>
      <c r="D8" s="5"/>
      <c r="E8" s="5"/>
      <c r="F8" s="6"/>
      <c r="G8" s="6"/>
      <c r="I8" s="63" t="s">
        <v>152</v>
      </c>
      <c r="J8" s="63"/>
      <c r="K8" s="63"/>
      <c r="L8" s="63"/>
      <c r="M8" s="63"/>
      <c r="N8" s="63"/>
      <c r="O8" s="6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9"/>
    </row>
    <row r="9" spans="2:34" ht="15" customHeight="1">
      <c r="B9" s="80"/>
      <c r="C9" s="4" t="s">
        <v>3</v>
      </c>
      <c r="D9" s="5"/>
      <c r="E9" s="5"/>
      <c r="F9" s="6"/>
      <c r="G9" s="6"/>
      <c r="I9" s="81" t="s">
        <v>4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9"/>
    </row>
    <row r="10" spans="2:34" ht="11.25" customHeight="1" thickBot="1">
      <c r="B10" s="7"/>
      <c r="C10" s="8"/>
      <c r="D10" s="9"/>
      <c r="E10" s="9"/>
      <c r="I10" s="8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"/>
      <c r="AG10" s="9"/>
      <c r="AH10" s="9"/>
    </row>
    <row r="11" spans="2:34" ht="28.5" customHeight="1">
      <c r="B11" s="98" t="s">
        <v>5</v>
      </c>
      <c r="C11" s="98"/>
      <c r="D11" s="98"/>
      <c r="E11" s="98"/>
      <c r="F11" s="98"/>
      <c r="G11" s="98"/>
      <c r="H11" s="10"/>
      <c r="I11" s="10"/>
      <c r="J11" s="10"/>
      <c r="K11" s="10"/>
      <c r="L11" s="10"/>
      <c r="M11" s="10"/>
      <c r="N11" s="10"/>
      <c r="O11" s="10"/>
      <c r="P11" s="16"/>
      <c r="Q11" s="16"/>
      <c r="R11" s="16"/>
      <c r="S11" s="99" t="s">
        <v>216</v>
      </c>
      <c r="T11" s="99"/>
      <c r="U11" s="99"/>
      <c r="V11" s="99"/>
      <c r="W11" s="99"/>
      <c r="X11" s="99"/>
      <c r="Y11" s="100" t="s">
        <v>217</v>
      </c>
      <c r="Z11" s="100"/>
      <c r="AA11" s="100"/>
      <c r="AB11" s="100"/>
      <c r="AC11" s="101" t="s">
        <v>7</v>
      </c>
      <c r="AD11" s="101"/>
      <c r="AE11" s="101"/>
      <c r="AF11" s="101"/>
      <c r="AG11" s="101"/>
      <c r="AH11" s="101"/>
    </row>
    <row r="12" spans="2:34" ht="24.75" customHeight="1">
      <c r="B12" s="102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7"/>
      <c r="Q12" s="17"/>
      <c r="R12" s="19"/>
      <c r="S12" s="103" t="s">
        <v>9</v>
      </c>
      <c r="T12" s="103"/>
      <c r="U12" s="103"/>
      <c r="V12" s="104">
        <v>46127</v>
      </c>
      <c r="W12" s="104"/>
      <c r="X12" s="104"/>
      <c r="Y12" s="104"/>
      <c r="Z12" s="104"/>
      <c r="AA12" s="104"/>
      <c r="AB12" s="104"/>
      <c r="AC12" s="104"/>
      <c r="AD12" s="104"/>
      <c r="AE12" s="24"/>
      <c r="AF12" s="5"/>
      <c r="AG12" s="27"/>
      <c r="AH12" s="15"/>
    </row>
    <row r="13" spans="2:34" ht="15.75">
      <c r="B13" s="107" t="s">
        <v>10</v>
      </c>
      <c r="C13" s="107"/>
      <c r="D13" s="107"/>
      <c r="E13" s="65" t="s">
        <v>11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18"/>
      <c r="Q13" s="18"/>
      <c r="R13" s="19"/>
      <c r="S13" s="20"/>
      <c r="T13" s="20"/>
      <c r="U13" s="20"/>
      <c r="V13" s="21"/>
      <c r="W13" s="21"/>
      <c r="X13" s="21"/>
      <c r="Y13" s="21"/>
      <c r="Z13" s="21"/>
      <c r="AA13" s="21"/>
      <c r="AB13" s="21"/>
      <c r="AC13" s="21"/>
      <c r="AD13" s="25"/>
      <c r="AE13" s="5"/>
      <c r="AF13" s="5"/>
      <c r="AG13" s="27"/>
      <c r="AH13" s="15"/>
    </row>
    <row r="14" spans="2:34" ht="9.75" customHeight="1">
      <c r="B14" s="107"/>
      <c r="C14" s="107"/>
      <c r="D14" s="10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18"/>
      <c r="Q14" s="18"/>
      <c r="R14" s="19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>
      <c r="B15" s="81" t="s">
        <v>12</v>
      </c>
      <c r="C15" s="81"/>
      <c r="D15" s="81"/>
      <c r="E15" s="81" t="s">
        <v>13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18"/>
      <c r="Q15" s="18"/>
      <c r="R15" s="19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96"/>
      <c r="AD15" s="96"/>
      <c r="AE15" s="96"/>
      <c r="AF15" s="96"/>
      <c r="AG15" s="96"/>
      <c r="AH15" s="96"/>
    </row>
    <row r="16" spans="2:34">
      <c r="B16" s="81" t="s">
        <v>14</v>
      </c>
      <c r="C16" s="81"/>
      <c r="D16" s="4"/>
      <c r="E16" s="105" t="s">
        <v>15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8"/>
      <c r="Q16" s="18"/>
      <c r="R16" s="19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26"/>
      <c r="AD16" s="26"/>
      <c r="AE16" s="26"/>
      <c r="AF16" s="26"/>
      <c r="AG16" s="26"/>
      <c r="AH16" s="26"/>
    </row>
    <row r="17" spans="2:40">
      <c r="B17" s="81" t="s">
        <v>16</v>
      </c>
      <c r="C17" s="81"/>
      <c r="D17" s="4"/>
      <c r="E17" s="106" t="s">
        <v>7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8"/>
      <c r="Q17" s="18"/>
      <c r="R17" s="19"/>
      <c r="Y17" s="96"/>
      <c r="Z17" s="96"/>
      <c r="AA17" s="96"/>
      <c r="AB17" s="96"/>
      <c r="AC17" s="96"/>
      <c r="AD17" s="96"/>
      <c r="AE17" s="96"/>
      <c r="AF17" s="96"/>
      <c r="AG17" s="96"/>
      <c r="AH17" s="96"/>
    </row>
    <row r="18" spans="2:40">
      <c r="B18" s="81" t="s">
        <v>17</v>
      </c>
      <c r="C18" s="81"/>
      <c r="D18" s="4"/>
      <c r="E18" s="81">
        <v>16332112051</v>
      </c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18"/>
      <c r="Q18" s="18"/>
      <c r="R18" s="9"/>
      <c r="S18" s="5"/>
      <c r="T18" s="5"/>
      <c r="U18" s="5"/>
      <c r="V18" s="5"/>
      <c r="W18" s="5"/>
      <c r="X18" s="5"/>
      <c r="Y18" s="96"/>
      <c r="Z18" s="96"/>
      <c r="AA18" s="96"/>
      <c r="AB18" s="96"/>
      <c r="AC18" s="25"/>
      <c r="AD18" s="25"/>
      <c r="AE18" s="25"/>
      <c r="AF18" s="25"/>
      <c r="AG18" s="25"/>
      <c r="AH18" s="5"/>
    </row>
    <row r="19" spans="2:40">
      <c r="B19" s="11"/>
      <c r="C19" s="11"/>
      <c r="D19" s="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8"/>
      <c r="Q19" s="18"/>
      <c r="R19" s="9"/>
      <c r="S19" s="5"/>
      <c r="T19" s="5"/>
      <c r="U19" s="5"/>
      <c r="V19" s="5"/>
      <c r="W19" s="5"/>
      <c r="X19" s="5"/>
      <c r="Y19" s="26"/>
      <c r="Z19" s="26"/>
      <c r="AA19" s="26"/>
      <c r="AB19" s="26"/>
      <c r="AC19" s="25"/>
      <c r="AD19" s="25"/>
      <c r="AE19" s="25"/>
      <c r="AF19" s="25"/>
      <c r="AG19" s="25"/>
      <c r="AH19" s="5"/>
    </row>
    <row r="20" spans="2:40">
      <c r="B20" s="11" t="s">
        <v>215</v>
      </c>
      <c r="C20" s="4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8"/>
      <c r="Q20" s="18"/>
      <c r="R20" s="9"/>
      <c r="S20" s="5"/>
      <c r="T20" s="5"/>
      <c r="U20" s="5"/>
      <c r="V20" s="5"/>
      <c r="W20" s="5"/>
      <c r="X20" s="5"/>
      <c r="Y20" s="26"/>
      <c r="Z20" s="26"/>
      <c r="AA20" s="26"/>
      <c r="AB20" s="26"/>
      <c r="AC20" s="25"/>
      <c r="AD20" s="25"/>
      <c r="AE20" s="25"/>
      <c r="AF20" s="25"/>
      <c r="AG20" s="25"/>
      <c r="AH20" s="5"/>
    </row>
    <row r="21" spans="2:40" ht="15.75" thickBot="1">
      <c r="B21" s="11"/>
      <c r="C21" s="4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8"/>
      <c r="Q21" s="18"/>
      <c r="R21" s="9"/>
      <c r="S21" s="5"/>
      <c r="T21" s="5"/>
      <c r="U21" s="5"/>
      <c r="V21" s="5"/>
      <c r="W21" s="5"/>
      <c r="X21" s="5"/>
      <c r="Y21" s="26"/>
      <c r="Z21" s="26"/>
      <c r="AA21" s="26"/>
      <c r="AB21" s="26"/>
      <c r="AC21" s="25"/>
      <c r="AD21" s="25"/>
      <c r="AE21" s="25"/>
      <c r="AF21" s="25"/>
      <c r="AG21" s="25"/>
      <c r="AH21" s="5"/>
    </row>
    <row r="22" spans="2:40" s="1" customFormat="1" ht="18.75" customHeight="1" thickBot="1">
      <c r="B22" s="12" t="s">
        <v>18</v>
      </c>
      <c r="C22" s="108" t="s">
        <v>19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0"/>
      <c r="U22" s="108" t="s">
        <v>20</v>
      </c>
      <c r="V22" s="110"/>
      <c r="W22" s="108" t="s">
        <v>21</v>
      </c>
      <c r="X22" s="109"/>
      <c r="Y22" s="111"/>
      <c r="Z22" s="112" t="s">
        <v>22</v>
      </c>
      <c r="AA22" s="109"/>
      <c r="AB22" s="109"/>
      <c r="AC22" s="111"/>
      <c r="AD22" s="112" t="s">
        <v>23</v>
      </c>
      <c r="AE22" s="109"/>
      <c r="AF22" s="109"/>
      <c r="AG22" s="109"/>
      <c r="AH22" s="111"/>
    </row>
    <row r="23" spans="2:40" s="1" customFormat="1" ht="30.75" customHeight="1">
      <c r="B23" s="13" t="s">
        <v>24</v>
      </c>
      <c r="C23" s="66" t="s">
        <v>206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9" t="s">
        <v>26</v>
      </c>
      <c r="V23" s="70"/>
      <c r="W23" s="71">
        <v>513.58000000000004</v>
      </c>
      <c r="X23" s="72"/>
      <c r="Y23" s="73"/>
      <c r="Z23" s="74">
        <v>735</v>
      </c>
      <c r="AA23" s="75"/>
      <c r="AB23" s="75"/>
      <c r="AC23" s="76"/>
      <c r="AD23" s="77">
        <f>W23*Z23</f>
        <v>377481.30000000005</v>
      </c>
      <c r="AE23" s="78"/>
      <c r="AF23" s="78"/>
      <c r="AG23" s="78"/>
      <c r="AH23" s="79"/>
      <c r="AI23" s="28"/>
      <c r="AN23" s="29"/>
    </row>
    <row r="24" spans="2:40" s="1" customFormat="1" ht="42.75" customHeight="1">
      <c r="B24" s="14" t="s">
        <v>27</v>
      </c>
      <c r="C24" s="40" t="s">
        <v>154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/>
      <c r="U24" s="43" t="s">
        <v>26</v>
      </c>
      <c r="V24" s="44"/>
      <c r="W24" s="45">
        <v>458.35</v>
      </c>
      <c r="X24" s="46"/>
      <c r="Y24" s="47"/>
      <c r="Z24" s="48">
        <v>810</v>
      </c>
      <c r="AA24" s="49"/>
      <c r="AB24" s="49"/>
      <c r="AC24" s="50"/>
      <c r="AD24" s="51">
        <f>W24*Z24</f>
        <v>371263.5</v>
      </c>
      <c r="AE24" s="52"/>
      <c r="AF24" s="52"/>
      <c r="AG24" s="52"/>
      <c r="AH24" s="53"/>
      <c r="AI24" s="28"/>
      <c r="AN24" s="29"/>
    </row>
    <row r="25" spans="2:40" s="1" customFormat="1" ht="29.25" customHeight="1">
      <c r="B25" s="14" t="s">
        <v>29</v>
      </c>
      <c r="C25" s="40" t="s">
        <v>155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  <c r="U25" s="43" t="s">
        <v>26</v>
      </c>
      <c r="V25" s="44"/>
      <c r="W25" s="45">
        <v>178.11</v>
      </c>
      <c r="X25" s="46"/>
      <c r="Y25" s="47"/>
      <c r="Z25" s="48">
        <v>795</v>
      </c>
      <c r="AA25" s="49"/>
      <c r="AB25" s="49"/>
      <c r="AC25" s="50"/>
      <c r="AD25" s="51">
        <f t="shared" ref="AD25:AD78" si="0">W25*Z25</f>
        <v>141597.45000000001</v>
      </c>
      <c r="AE25" s="52"/>
      <c r="AF25" s="52"/>
      <c r="AG25" s="52"/>
      <c r="AH25" s="53"/>
      <c r="AI25" s="28"/>
      <c r="AN25" s="29"/>
    </row>
    <row r="26" spans="2:40" s="1" customFormat="1" ht="44.25" customHeight="1">
      <c r="B26" s="14" t="s">
        <v>31</v>
      </c>
      <c r="C26" s="40" t="s">
        <v>156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  <c r="U26" s="43" t="s">
        <v>26</v>
      </c>
      <c r="V26" s="44"/>
      <c r="W26" s="45">
        <v>76</v>
      </c>
      <c r="X26" s="46"/>
      <c r="Y26" s="47"/>
      <c r="Z26" s="48">
        <v>960</v>
      </c>
      <c r="AA26" s="49"/>
      <c r="AB26" s="49"/>
      <c r="AC26" s="50"/>
      <c r="AD26" s="51">
        <f t="shared" si="0"/>
        <v>72960</v>
      </c>
      <c r="AE26" s="52"/>
      <c r="AF26" s="52"/>
      <c r="AG26" s="52"/>
      <c r="AH26" s="53"/>
      <c r="AI26" s="28"/>
      <c r="AN26" s="29"/>
    </row>
    <row r="27" spans="2:40" s="1" customFormat="1" ht="33.75" customHeight="1">
      <c r="B27" s="14" t="s">
        <v>33</v>
      </c>
      <c r="C27" s="40" t="s">
        <v>157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2"/>
      <c r="U27" s="43" t="s">
        <v>26</v>
      </c>
      <c r="V27" s="44"/>
      <c r="W27" s="45">
        <v>37.49</v>
      </c>
      <c r="X27" s="46"/>
      <c r="Y27" s="47"/>
      <c r="Z27" s="48">
        <v>480</v>
      </c>
      <c r="AA27" s="49"/>
      <c r="AB27" s="49"/>
      <c r="AC27" s="50"/>
      <c r="AD27" s="51">
        <f t="shared" si="0"/>
        <v>17995.2</v>
      </c>
      <c r="AE27" s="52"/>
      <c r="AF27" s="52"/>
      <c r="AG27" s="52"/>
      <c r="AH27" s="53"/>
      <c r="AI27" s="28"/>
      <c r="AN27" s="29"/>
    </row>
    <row r="28" spans="2:40" s="1" customFormat="1" ht="34.5" customHeight="1">
      <c r="B28" s="14" t="s">
        <v>35</v>
      </c>
      <c r="C28" s="40" t="s">
        <v>158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2"/>
      <c r="U28" s="43" t="s">
        <v>37</v>
      </c>
      <c r="V28" s="44"/>
      <c r="W28" s="45">
        <v>52.86</v>
      </c>
      <c r="X28" s="46"/>
      <c r="Y28" s="47"/>
      <c r="Z28" s="48">
        <v>330</v>
      </c>
      <c r="AA28" s="49"/>
      <c r="AB28" s="49"/>
      <c r="AC28" s="50"/>
      <c r="AD28" s="51">
        <f t="shared" si="0"/>
        <v>17443.8</v>
      </c>
      <c r="AE28" s="52"/>
      <c r="AF28" s="52"/>
      <c r="AG28" s="52"/>
      <c r="AH28" s="53"/>
      <c r="AI28" s="28"/>
      <c r="AN28" s="29"/>
    </row>
    <row r="29" spans="2:40" s="1" customFormat="1" ht="33" customHeight="1">
      <c r="B29" s="14" t="s">
        <v>38</v>
      </c>
      <c r="C29" s="40" t="s">
        <v>159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43" t="s">
        <v>37</v>
      </c>
      <c r="V29" s="44"/>
      <c r="W29" s="45">
        <v>300</v>
      </c>
      <c r="X29" s="46"/>
      <c r="Y29" s="47"/>
      <c r="Z29" s="48">
        <v>255</v>
      </c>
      <c r="AA29" s="49"/>
      <c r="AB29" s="49"/>
      <c r="AC29" s="50"/>
      <c r="AD29" s="51">
        <f t="shared" si="0"/>
        <v>76500</v>
      </c>
      <c r="AE29" s="52"/>
      <c r="AF29" s="52"/>
      <c r="AG29" s="52"/>
      <c r="AH29" s="53"/>
      <c r="AI29" s="28"/>
      <c r="AN29" s="29"/>
    </row>
    <row r="30" spans="2:40" s="1" customFormat="1" ht="33" customHeight="1">
      <c r="B30" s="14" t="s">
        <v>40</v>
      </c>
      <c r="C30" s="40" t="s">
        <v>160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  <c r="U30" s="43" t="s">
        <v>37</v>
      </c>
      <c r="V30" s="44"/>
      <c r="W30" s="45">
        <v>40</v>
      </c>
      <c r="X30" s="46"/>
      <c r="Y30" s="47"/>
      <c r="Z30" s="48">
        <v>315</v>
      </c>
      <c r="AA30" s="49"/>
      <c r="AB30" s="49"/>
      <c r="AC30" s="50"/>
      <c r="AD30" s="51">
        <f t="shared" si="0"/>
        <v>12600</v>
      </c>
      <c r="AE30" s="52"/>
      <c r="AF30" s="52"/>
      <c r="AG30" s="52"/>
      <c r="AH30" s="53"/>
      <c r="AI30" s="28"/>
      <c r="AN30" s="29"/>
    </row>
    <row r="31" spans="2:40" s="1" customFormat="1" ht="34.5" customHeight="1">
      <c r="B31" s="14" t="s">
        <v>42</v>
      </c>
      <c r="C31" s="40" t="s">
        <v>161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43" t="s">
        <v>37</v>
      </c>
      <c r="V31" s="44"/>
      <c r="W31" s="45">
        <v>518.79999999999995</v>
      </c>
      <c r="X31" s="46"/>
      <c r="Y31" s="47"/>
      <c r="Z31" s="48">
        <v>690</v>
      </c>
      <c r="AA31" s="49"/>
      <c r="AB31" s="49"/>
      <c r="AC31" s="50"/>
      <c r="AD31" s="51">
        <f t="shared" si="0"/>
        <v>357971.99999999994</v>
      </c>
      <c r="AE31" s="52"/>
      <c r="AF31" s="52"/>
      <c r="AG31" s="52"/>
      <c r="AH31" s="53"/>
      <c r="AI31" s="28"/>
      <c r="AN31" s="29"/>
    </row>
    <row r="32" spans="2:40" s="2" customFormat="1" ht="24.75" customHeight="1">
      <c r="B32" s="14" t="s">
        <v>44</v>
      </c>
      <c r="C32" s="40" t="s">
        <v>162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  <c r="U32" s="43" t="s">
        <v>37</v>
      </c>
      <c r="V32" s="44"/>
      <c r="W32" s="45">
        <v>46.16</v>
      </c>
      <c r="X32" s="46"/>
      <c r="Y32" s="47"/>
      <c r="Z32" s="48">
        <v>360</v>
      </c>
      <c r="AA32" s="49"/>
      <c r="AB32" s="49"/>
      <c r="AC32" s="50"/>
      <c r="AD32" s="51">
        <f t="shared" si="0"/>
        <v>16617.599999999999</v>
      </c>
      <c r="AE32" s="52"/>
      <c r="AF32" s="52"/>
      <c r="AG32" s="52"/>
      <c r="AH32" s="53"/>
      <c r="AI32" s="28"/>
      <c r="AN32" s="29"/>
    </row>
    <row r="33" spans="2:40" s="2" customFormat="1" ht="24.75" customHeight="1">
      <c r="B33" s="14" t="s">
        <v>46</v>
      </c>
      <c r="C33" s="40" t="s">
        <v>163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U33" s="43" t="s">
        <v>37</v>
      </c>
      <c r="V33" s="44"/>
      <c r="W33" s="45">
        <v>3</v>
      </c>
      <c r="X33" s="46"/>
      <c r="Y33" s="47"/>
      <c r="Z33" s="48">
        <v>360</v>
      </c>
      <c r="AA33" s="49"/>
      <c r="AB33" s="49"/>
      <c r="AC33" s="50"/>
      <c r="AD33" s="51">
        <f t="shared" si="0"/>
        <v>1080</v>
      </c>
      <c r="AE33" s="52"/>
      <c r="AF33" s="52"/>
      <c r="AG33" s="52"/>
      <c r="AH33" s="53"/>
      <c r="AI33" s="28"/>
      <c r="AN33" s="29"/>
    </row>
    <row r="34" spans="2:40" s="2" customFormat="1" ht="24.75" customHeight="1">
      <c r="B34" s="14" t="s">
        <v>48</v>
      </c>
      <c r="C34" s="40" t="s">
        <v>164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  <c r="U34" s="43" t="s">
        <v>26</v>
      </c>
      <c r="V34" s="44"/>
      <c r="W34" s="45">
        <v>220</v>
      </c>
      <c r="X34" s="46"/>
      <c r="Y34" s="47"/>
      <c r="Z34" s="48">
        <v>180</v>
      </c>
      <c r="AA34" s="49"/>
      <c r="AB34" s="49"/>
      <c r="AC34" s="50"/>
      <c r="AD34" s="51">
        <f t="shared" si="0"/>
        <v>39600</v>
      </c>
      <c r="AE34" s="52"/>
      <c r="AF34" s="52"/>
      <c r="AG34" s="52"/>
      <c r="AH34" s="53"/>
      <c r="AI34" s="28"/>
      <c r="AN34" s="29"/>
    </row>
    <row r="35" spans="2:40" s="1" customFormat="1" ht="33" customHeight="1">
      <c r="B35" s="14" t="s">
        <v>50</v>
      </c>
      <c r="C35" s="40" t="s">
        <v>165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3" t="s">
        <v>26</v>
      </c>
      <c r="V35" s="44"/>
      <c r="W35" s="45">
        <v>1495</v>
      </c>
      <c r="X35" s="46"/>
      <c r="Y35" s="47"/>
      <c r="Z35" s="48">
        <v>360</v>
      </c>
      <c r="AA35" s="49"/>
      <c r="AB35" s="49"/>
      <c r="AC35" s="50"/>
      <c r="AD35" s="51">
        <f t="shared" si="0"/>
        <v>538200</v>
      </c>
      <c r="AE35" s="52"/>
      <c r="AF35" s="52"/>
      <c r="AG35" s="52"/>
      <c r="AH35" s="53"/>
      <c r="AI35" s="28"/>
      <c r="AN35" s="29"/>
    </row>
    <row r="36" spans="2:40" s="1" customFormat="1" ht="35.25" customHeight="1">
      <c r="B36" s="14" t="s">
        <v>52</v>
      </c>
      <c r="C36" s="40" t="s">
        <v>166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  <c r="U36" s="43" t="s">
        <v>26</v>
      </c>
      <c r="V36" s="44"/>
      <c r="W36" s="45">
        <v>7.37</v>
      </c>
      <c r="X36" s="46"/>
      <c r="Y36" s="47"/>
      <c r="Z36" s="48">
        <v>660</v>
      </c>
      <c r="AA36" s="49"/>
      <c r="AB36" s="49"/>
      <c r="AC36" s="50"/>
      <c r="AD36" s="51">
        <f t="shared" si="0"/>
        <v>4864.2</v>
      </c>
      <c r="AE36" s="52"/>
      <c r="AF36" s="52"/>
      <c r="AG36" s="52"/>
      <c r="AH36" s="53"/>
      <c r="AI36" s="28"/>
      <c r="AN36" s="29"/>
    </row>
    <row r="37" spans="2:40" s="1" customFormat="1" ht="33" customHeight="1">
      <c r="B37" s="14" t="s">
        <v>54</v>
      </c>
      <c r="C37" s="40" t="s">
        <v>167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U37" s="43" t="s">
        <v>26</v>
      </c>
      <c r="V37" s="44"/>
      <c r="W37" s="45">
        <v>38.9</v>
      </c>
      <c r="X37" s="46"/>
      <c r="Y37" s="47"/>
      <c r="Z37" s="48">
        <v>1140</v>
      </c>
      <c r="AA37" s="49"/>
      <c r="AB37" s="49"/>
      <c r="AC37" s="50"/>
      <c r="AD37" s="51">
        <f t="shared" si="0"/>
        <v>44346</v>
      </c>
      <c r="AE37" s="52"/>
      <c r="AF37" s="52"/>
      <c r="AG37" s="52"/>
      <c r="AH37" s="53"/>
      <c r="AI37" s="28"/>
      <c r="AN37" s="29"/>
    </row>
    <row r="38" spans="2:40" s="1" customFormat="1" ht="33" customHeight="1">
      <c r="B38" s="14" t="s">
        <v>56</v>
      </c>
      <c r="C38" s="40" t="s">
        <v>168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/>
      <c r="U38" s="43" t="s">
        <v>26</v>
      </c>
      <c r="V38" s="44"/>
      <c r="W38" s="45">
        <v>22.85</v>
      </c>
      <c r="X38" s="46"/>
      <c r="Y38" s="47"/>
      <c r="Z38" s="48">
        <v>660</v>
      </c>
      <c r="AA38" s="49"/>
      <c r="AB38" s="49"/>
      <c r="AC38" s="50"/>
      <c r="AD38" s="51">
        <f t="shared" si="0"/>
        <v>15081.000000000002</v>
      </c>
      <c r="AE38" s="52"/>
      <c r="AF38" s="52"/>
      <c r="AG38" s="52"/>
      <c r="AH38" s="53"/>
      <c r="AI38" s="28"/>
      <c r="AN38" s="29"/>
    </row>
    <row r="39" spans="2:40" s="1" customFormat="1" ht="33" customHeight="1">
      <c r="B39" s="14" t="s">
        <v>58</v>
      </c>
      <c r="C39" s="40" t="s">
        <v>169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43" t="s">
        <v>26</v>
      </c>
      <c r="V39" s="44"/>
      <c r="W39" s="45">
        <v>563</v>
      </c>
      <c r="X39" s="46"/>
      <c r="Y39" s="47"/>
      <c r="Z39" s="48">
        <v>1140</v>
      </c>
      <c r="AA39" s="49"/>
      <c r="AB39" s="49"/>
      <c r="AC39" s="50"/>
      <c r="AD39" s="51">
        <f t="shared" si="0"/>
        <v>641820</v>
      </c>
      <c r="AE39" s="52"/>
      <c r="AF39" s="52"/>
      <c r="AG39" s="52"/>
      <c r="AH39" s="53"/>
      <c r="AI39" s="28"/>
      <c r="AN39" s="29"/>
    </row>
    <row r="40" spans="2:40" s="1" customFormat="1" ht="33" customHeight="1">
      <c r="B40" s="14" t="s">
        <v>60</v>
      </c>
      <c r="C40" s="40" t="s">
        <v>170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43" t="s">
        <v>37</v>
      </c>
      <c r="V40" s="44"/>
      <c r="W40" s="45">
        <v>311</v>
      </c>
      <c r="X40" s="46"/>
      <c r="Y40" s="47"/>
      <c r="Z40" s="48">
        <v>330</v>
      </c>
      <c r="AA40" s="49"/>
      <c r="AB40" s="49"/>
      <c r="AC40" s="50"/>
      <c r="AD40" s="51">
        <f t="shared" si="0"/>
        <v>102630</v>
      </c>
      <c r="AE40" s="52"/>
      <c r="AF40" s="52"/>
      <c r="AG40" s="52"/>
      <c r="AH40" s="53"/>
      <c r="AI40" s="28"/>
      <c r="AN40" s="29"/>
    </row>
    <row r="41" spans="2:40" s="1" customFormat="1" ht="33" customHeight="1">
      <c r="B41" s="14" t="s">
        <v>62</v>
      </c>
      <c r="C41" s="40" t="s">
        <v>171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U41" s="43" t="s">
        <v>26</v>
      </c>
      <c r="V41" s="44"/>
      <c r="W41" s="45">
        <v>84</v>
      </c>
      <c r="X41" s="46"/>
      <c r="Y41" s="47"/>
      <c r="Z41" s="48">
        <v>1140</v>
      </c>
      <c r="AA41" s="49"/>
      <c r="AB41" s="49"/>
      <c r="AC41" s="50"/>
      <c r="AD41" s="51">
        <f t="shared" si="0"/>
        <v>95760</v>
      </c>
      <c r="AE41" s="52"/>
      <c r="AF41" s="52"/>
      <c r="AG41" s="52"/>
      <c r="AH41" s="53"/>
      <c r="AI41" s="28"/>
      <c r="AN41" s="29"/>
    </row>
    <row r="42" spans="2:40" s="1" customFormat="1" ht="33" customHeight="1">
      <c r="B42" s="14" t="s">
        <v>64</v>
      </c>
      <c r="C42" s="40" t="s">
        <v>172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  <c r="U42" s="43" t="s">
        <v>37</v>
      </c>
      <c r="V42" s="44"/>
      <c r="W42" s="45">
        <v>30</v>
      </c>
      <c r="X42" s="46"/>
      <c r="Y42" s="47"/>
      <c r="Z42" s="48">
        <v>855</v>
      </c>
      <c r="AA42" s="49"/>
      <c r="AB42" s="49"/>
      <c r="AC42" s="50"/>
      <c r="AD42" s="51">
        <f t="shared" si="0"/>
        <v>25650</v>
      </c>
      <c r="AE42" s="52"/>
      <c r="AF42" s="52"/>
      <c r="AG42" s="52"/>
      <c r="AH42" s="53"/>
      <c r="AI42" s="28"/>
      <c r="AN42" s="29"/>
    </row>
    <row r="43" spans="2:40" s="1" customFormat="1" ht="27" customHeight="1">
      <c r="B43" s="14" t="s">
        <v>66</v>
      </c>
      <c r="C43" s="40" t="s">
        <v>173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  <c r="U43" s="43" t="s">
        <v>68</v>
      </c>
      <c r="V43" s="44"/>
      <c r="W43" s="45">
        <v>3</v>
      </c>
      <c r="X43" s="46"/>
      <c r="Y43" s="47"/>
      <c r="Z43" s="48">
        <v>12000</v>
      </c>
      <c r="AA43" s="49"/>
      <c r="AB43" s="49"/>
      <c r="AC43" s="50"/>
      <c r="AD43" s="51">
        <f t="shared" si="0"/>
        <v>36000</v>
      </c>
      <c r="AE43" s="52"/>
      <c r="AF43" s="52"/>
      <c r="AG43" s="52"/>
      <c r="AH43" s="53"/>
      <c r="AI43" s="28"/>
      <c r="AN43" s="29"/>
    </row>
    <row r="44" spans="2:40" s="1" customFormat="1" ht="30" customHeight="1">
      <c r="B44" s="14" t="s">
        <v>69</v>
      </c>
      <c r="C44" s="40" t="s">
        <v>174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43" t="s">
        <v>68</v>
      </c>
      <c r="V44" s="44"/>
      <c r="W44" s="45">
        <v>4</v>
      </c>
      <c r="X44" s="46"/>
      <c r="Y44" s="47"/>
      <c r="Z44" s="48">
        <v>16500</v>
      </c>
      <c r="AA44" s="49"/>
      <c r="AB44" s="49"/>
      <c r="AC44" s="50"/>
      <c r="AD44" s="51">
        <f t="shared" si="0"/>
        <v>66000</v>
      </c>
      <c r="AE44" s="52"/>
      <c r="AF44" s="52"/>
      <c r="AG44" s="52"/>
      <c r="AH44" s="53"/>
      <c r="AI44" s="28"/>
      <c r="AN44" s="29"/>
    </row>
    <row r="45" spans="2:40" s="1" customFormat="1" ht="31.5" customHeight="1">
      <c r="B45" s="14" t="s">
        <v>71</v>
      </c>
      <c r="C45" s="40" t="s">
        <v>175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43" t="s">
        <v>68</v>
      </c>
      <c r="V45" s="44"/>
      <c r="W45" s="45">
        <v>1</v>
      </c>
      <c r="X45" s="46"/>
      <c r="Y45" s="47"/>
      <c r="Z45" s="48">
        <v>42000</v>
      </c>
      <c r="AA45" s="49"/>
      <c r="AB45" s="49"/>
      <c r="AC45" s="50"/>
      <c r="AD45" s="51">
        <f t="shared" si="0"/>
        <v>42000</v>
      </c>
      <c r="AE45" s="52"/>
      <c r="AF45" s="52"/>
      <c r="AG45" s="52"/>
      <c r="AH45" s="53"/>
      <c r="AI45" s="28"/>
      <c r="AN45" s="29"/>
    </row>
    <row r="46" spans="2:40" s="1" customFormat="1" ht="46.5" customHeight="1">
      <c r="B46" s="14" t="s">
        <v>73</v>
      </c>
      <c r="C46" s="40" t="s">
        <v>176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2"/>
      <c r="U46" s="43" t="s">
        <v>68</v>
      </c>
      <c r="V46" s="44"/>
      <c r="W46" s="45">
        <v>3</v>
      </c>
      <c r="X46" s="46"/>
      <c r="Y46" s="47"/>
      <c r="Z46" s="113">
        <v>33000</v>
      </c>
      <c r="AA46" s="114"/>
      <c r="AB46" s="114"/>
      <c r="AC46" s="115"/>
      <c r="AD46" s="51">
        <f t="shared" si="0"/>
        <v>99000</v>
      </c>
      <c r="AE46" s="52"/>
      <c r="AF46" s="52"/>
      <c r="AG46" s="52"/>
      <c r="AH46" s="53"/>
      <c r="AI46" s="28"/>
      <c r="AN46" s="29"/>
    </row>
    <row r="47" spans="2:40" s="1" customFormat="1" ht="34.5" customHeight="1">
      <c r="B47" s="14" t="s">
        <v>75</v>
      </c>
      <c r="C47" s="40" t="s">
        <v>177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2"/>
      <c r="U47" s="43" t="s">
        <v>68</v>
      </c>
      <c r="V47" s="44"/>
      <c r="W47" s="45">
        <v>4</v>
      </c>
      <c r="X47" s="46"/>
      <c r="Y47" s="47"/>
      <c r="Z47" s="113">
        <v>25500</v>
      </c>
      <c r="AA47" s="114"/>
      <c r="AB47" s="114"/>
      <c r="AC47" s="115"/>
      <c r="AD47" s="51">
        <f t="shared" si="0"/>
        <v>102000</v>
      </c>
      <c r="AE47" s="52"/>
      <c r="AF47" s="52"/>
      <c r="AG47" s="52"/>
      <c r="AH47" s="53"/>
      <c r="AI47" s="28"/>
      <c r="AN47" s="29"/>
    </row>
    <row r="48" spans="2:40" ht="31.5" customHeight="1">
      <c r="B48" s="14" t="s">
        <v>77</v>
      </c>
      <c r="C48" s="40" t="s">
        <v>178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2"/>
      <c r="U48" s="43" t="s">
        <v>68</v>
      </c>
      <c r="V48" s="44"/>
      <c r="W48" s="45">
        <v>21</v>
      </c>
      <c r="X48" s="46"/>
      <c r="Y48" s="47"/>
      <c r="Z48" s="113">
        <v>11700</v>
      </c>
      <c r="AA48" s="114"/>
      <c r="AB48" s="114"/>
      <c r="AC48" s="115"/>
      <c r="AD48" s="51">
        <f t="shared" si="0"/>
        <v>245700</v>
      </c>
      <c r="AE48" s="52"/>
      <c r="AF48" s="52"/>
      <c r="AG48" s="52"/>
      <c r="AH48" s="53"/>
      <c r="AI48" s="28"/>
      <c r="AN48" s="29"/>
    </row>
    <row r="49" spans="2:40" ht="31.5" customHeight="1">
      <c r="B49" s="14" t="s">
        <v>79</v>
      </c>
      <c r="C49" s="40" t="s">
        <v>179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2"/>
      <c r="U49" s="43" t="s">
        <v>68</v>
      </c>
      <c r="V49" s="44"/>
      <c r="W49" s="45">
        <v>1</v>
      </c>
      <c r="X49" s="46"/>
      <c r="Y49" s="47"/>
      <c r="Z49" s="113">
        <v>14850</v>
      </c>
      <c r="AA49" s="114"/>
      <c r="AB49" s="114"/>
      <c r="AC49" s="115"/>
      <c r="AD49" s="51">
        <f t="shared" si="0"/>
        <v>14850</v>
      </c>
      <c r="AE49" s="52"/>
      <c r="AF49" s="52"/>
      <c r="AG49" s="52"/>
      <c r="AH49" s="53"/>
      <c r="AI49" s="28"/>
      <c r="AN49" s="29"/>
    </row>
    <row r="50" spans="2:40" ht="34.5" customHeight="1">
      <c r="B50" s="14" t="s">
        <v>81</v>
      </c>
      <c r="C50" s="40" t="s">
        <v>180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2"/>
      <c r="U50" s="43" t="s">
        <v>68</v>
      </c>
      <c r="V50" s="44"/>
      <c r="W50" s="45">
        <v>4</v>
      </c>
      <c r="X50" s="46"/>
      <c r="Y50" s="47"/>
      <c r="Z50" s="113">
        <v>3000</v>
      </c>
      <c r="AA50" s="114"/>
      <c r="AB50" s="114"/>
      <c r="AC50" s="115"/>
      <c r="AD50" s="51">
        <f t="shared" si="0"/>
        <v>12000</v>
      </c>
      <c r="AE50" s="52"/>
      <c r="AF50" s="52"/>
      <c r="AG50" s="52"/>
      <c r="AH50" s="53"/>
      <c r="AI50" s="28"/>
      <c r="AN50" s="29"/>
    </row>
    <row r="51" spans="2:40" ht="31.5" customHeight="1">
      <c r="B51" s="14" t="s">
        <v>83</v>
      </c>
      <c r="C51" s="40" t="s">
        <v>181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2"/>
      <c r="U51" s="43" t="s">
        <v>68</v>
      </c>
      <c r="V51" s="44"/>
      <c r="W51" s="45">
        <v>3</v>
      </c>
      <c r="X51" s="46"/>
      <c r="Y51" s="47"/>
      <c r="Z51" s="113">
        <v>14100</v>
      </c>
      <c r="AA51" s="114"/>
      <c r="AB51" s="114"/>
      <c r="AC51" s="115"/>
      <c r="AD51" s="51">
        <f t="shared" si="0"/>
        <v>42300</v>
      </c>
      <c r="AE51" s="52"/>
      <c r="AF51" s="52"/>
      <c r="AG51" s="52"/>
      <c r="AH51" s="53"/>
      <c r="AI51" s="28"/>
      <c r="AN51" s="29"/>
    </row>
    <row r="52" spans="2:40" s="1" customFormat="1" ht="34.5" customHeight="1">
      <c r="B52" s="14" t="s">
        <v>85</v>
      </c>
      <c r="C52" s="40" t="s">
        <v>182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2"/>
      <c r="U52" s="43" t="s">
        <v>68</v>
      </c>
      <c r="V52" s="44"/>
      <c r="W52" s="45">
        <v>2</v>
      </c>
      <c r="X52" s="46"/>
      <c r="Y52" s="47"/>
      <c r="Z52" s="113">
        <v>14400</v>
      </c>
      <c r="AA52" s="114"/>
      <c r="AB52" s="114"/>
      <c r="AC52" s="115"/>
      <c r="AD52" s="51">
        <f t="shared" si="0"/>
        <v>28800</v>
      </c>
      <c r="AE52" s="52"/>
      <c r="AF52" s="52"/>
      <c r="AG52" s="52"/>
      <c r="AH52" s="53"/>
      <c r="AI52" s="28"/>
      <c r="AN52" s="29"/>
    </row>
    <row r="53" spans="2:40" s="1" customFormat="1" ht="34.5" customHeight="1">
      <c r="B53" s="14" t="s">
        <v>87</v>
      </c>
      <c r="C53" s="40" t="s">
        <v>183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2"/>
      <c r="U53" s="43" t="s">
        <v>68</v>
      </c>
      <c r="V53" s="44"/>
      <c r="W53" s="45">
        <v>2</v>
      </c>
      <c r="X53" s="46"/>
      <c r="Y53" s="47"/>
      <c r="Z53" s="113">
        <v>12900</v>
      </c>
      <c r="AA53" s="114"/>
      <c r="AB53" s="114"/>
      <c r="AC53" s="115"/>
      <c r="AD53" s="51">
        <f t="shared" si="0"/>
        <v>25800</v>
      </c>
      <c r="AE53" s="52"/>
      <c r="AF53" s="52"/>
      <c r="AG53" s="52"/>
      <c r="AH53" s="53"/>
      <c r="AI53" s="28"/>
      <c r="AN53" s="29"/>
    </row>
    <row r="54" spans="2:40" s="1" customFormat="1" ht="34.5" customHeight="1">
      <c r="B54" s="14" t="s">
        <v>89</v>
      </c>
      <c r="C54" s="40" t="s">
        <v>184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2"/>
      <c r="U54" s="43" t="s">
        <v>68</v>
      </c>
      <c r="V54" s="44"/>
      <c r="W54" s="45">
        <v>2</v>
      </c>
      <c r="X54" s="46"/>
      <c r="Y54" s="47"/>
      <c r="Z54" s="113">
        <v>11700</v>
      </c>
      <c r="AA54" s="114"/>
      <c r="AB54" s="114"/>
      <c r="AC54" s="115"/>
      <c r="AD54" s="51">
        <f t="shared" si="0"/>
        <v>23400</v>
      </c>
      <c r="AE54" s="52"/>
      <c r="AF54" s="52"/>
      <c r="AG54" s="52"/>
      <c r="AH54" s="53"/>
      <c r="AI54" s="28"/>
      <c r="AN54" s="29"/>
    </row>
    <row r="55" spans="2:40" s="1" customFormat="1" ht="34.5" customHeight="1">
      <c r="B55" s="14" t="s">
        <v>91</v>
      </c>
      <c r="C55" s="40" t="s">
        <v>185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2"/>
      <c r="U55" s="43" t="s">
        <v>68</v>
      </c>
      <c r="V55" s="44"/>
      <c r="W55" s="45">
        <v>1</v>
      </c>
      <c r="X55" s="46"/>
      <c r="Y55" s="47"/>
      <c r="Z55" s="113">
        <v>16500</v>
      </c>
      <c r="AA55" s="114"/>
      <c r="AB55" s="114"/>
      <c r="AC55" s="115"/>
      <c r="AD55" s="51">
        <f t="shared" si="0"/>
        <v>16500</v>
      </c>
      <c r="AE55" s="52"/>
      <c r="AF55" s="52"/>
      <c r="AG55" s="52"/>
      <c r="AH55" s="53"/>
      <c r="AI55" s="28"/>
      <c r="AN55" s="29"/>
    </row>
    <row r="56" spans="2:40" s="1" customFormat="1" ht="43.5" customHeight="1">
      <c r="B56" s="14" t="s">
        <v>93</v>
      </c>
      <c r="C56" s="40" t="s">
        <v>186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2"/>
      <c r="U56" s="43" t="s">
        <v>68</v>
      </c>
      <c r="V56" s="44"/>
      <c r="W56" s="45">
        <v>1</v>
      </c>
      <c r="X56" s="46"/>
      <c r="Y56" s="47"/>
      <c r="Z56" s="113">
        <v>6000</v>
      </c>
      <c r="AA56" s="114"/>
      <c r="AB56" s="114"/>
      <c r="AC56" s="115"/>
      <c r="AD56" s="51">
        <f t="shared" si="0"/>
        <v>6000</v>
      </c>
      <c r="AE56" s="52"/>
      <c r="AF56" s="52"/>
      <c r="AG56" s="52"/>
      <c r="AH56" s="53"/>
      <c r="AI56" s="28"/>
      <c r="AN56" s="29"/>
    </row>
    <row r="57" spans="2:40" s="1" customFormat="1" ht="34.5" customHeight="1">
      <c r="B57" s="14" t="s">
        <v>95</v>
      </c>
      <c r="C57" s="40" t="s">
        <v>187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2"/>
      <c r="U57" s="43" t="s">
        <v>68</v>
      </c>
      <c r="V57" s="44"/>
      <c r="W57" s="45">
        <v>2</v>
      </c>
      <c r="X57" s="46"/>
      <c r="Y57" s="47"/>
      <c r="Z57" s="113">
        <v>9000</v>
      </c>
      <c r="AA57" s="114"/>
      <c r="AB57" s="114"/>
      <c r="AC57" s="115"/>
      <c r="AD57" s="51">
        <f t="shared" si="0"/>
        <v>18000</v>
      </c>
      <c r="AE57" s="52"/>
      <c r="AF57" s="52"/>
      <c r="AG57" s="52"/>
      <c r="AH57" s="53"/>
      <c r="AI57" s="28"/>
      <c r="AN57" s="29"/>
    </row>
    <row r="58" spans="2:40" s="1" customFormat="1" ht="34.5" customHeight="1">
      <c r="B58" s="14" t="s">
        <v>97</v>
      </c>
      <c r="C58" s="40" t="s">
        <v>188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2"/>
      <c r="U58" s="43" t="s">
        <v>68</v>
      </c>
      <c r="V58" s="44"/>
      <c r="W58" s="45">
        <v>1</v>
      </c>
      <c r="X58" s="46"/>
      <c r="Y58" s="47"/>
      <c r="Z58" s="113">
        <v>14700</v>
      </c>
      <c r="AA58" s="114"/>
      <c r="AB58" s="114"/>
      <c r="AC58" s="115"/>
      <c r="AD58" s="51">
        <f t="shared" si="0"/>
        <v>14700</v>
      </c>
      <c r="AE58" s="52"/>
      <c r="AF58" s="52"/>
      <c r="AG58" s="52"/>
      <c r="AH58" s="53"/>
      <c r="AI58" s="28"/>
      <c r="AN58" s="29"/>
    </row>
    <row r="59" spans="2:40" s="1" customFormat="1" ht="34.5" customHeight="1">
      <c r="B59" s="14" t="s">
        <v>99</v>
      </c>
      <c r="C59" s="40" t="s">
        <v>189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2"/>
      <c r="U59" s="43" t="s">
        <v>68</v>
      </c>
      <c r="V59" s="44"/>
      <c r="W59" s="45">
        <v>2</v>
      </c>
      <c r="X59" s="46"/>
      <c r="Y59" s="47"/>
      <c r="Z59" s="113">
        <v>19500</v>
      </c>
      <c r="AA59" s="114"/>
      <c r="AB59" s="114"/>
      <c r="AC59" s="115"/>
      <c r="AD59" s="51">
        <f t="shared" si="0"/>
        <v>39000</v>
      </c>
      <c r="AE59" s="52"/>
      <c r="AF59" s="52"/>
      <c r="AG59" s="52"/>
      <c r="AH59" s="53"/>
      <c r="AI59" s="28"/>
      <c r="AN59" s="29"/>
    </row>
    <row r="60" spans="2:40" s="1" customFormat="1" ht="34.5" customHeight="1">
      <c r="B60" s="14" t="s">
        <v>101</v>
      </c>
      <c r="C60" s="40" t="s">
        <v>190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2"/>
      <c r="U60" s="43" t="s">
        <v>68</v>
      </c>
      <c r="V60" s="44"/>
      <c r="W60" s="45">
        <v>1</v>
      </c>
      <c r="X60" s="46"/>
      <c r="Y60" s="47"/>
      <c r="Z60" s="113">
        <v>18000</v>
      </c>
      <c r="AA60" s="114"/>
      <c r="AB60" s="114"/>
      <c r="AC60" s="115"/>
      <c r="AD60" s="51">
        <f t="shared" si="0"/>
        <v>18000</v>
      </c>
      <c r="AE60" s="52"/>
      <c r="AF60" s="52"/>
      <c r="AG60" s="52"/>
      <c r="AH60" s="53"/>
      <c r="AI60" s="28"/>
      <c r="AN60" s="29"/>
    </row>
    <row r="61" spans="2:40" ht="34.5" customHeight="1">
      <c r="B61" s="14" t="s">
        <v>103</v>
      </c>
      <c r="C61" s="40" t="s">
        <v>191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2"/>
      <c r="U61" s="43" t="s">
        <v>68</v>
      </c>
      <c r="V61" s="44"/>
      <c r="W61" s="45">
        <v>4</v>
      </c>
      <c r="X61" s="46"/>
      <c r="Y61" s="47"/>
      <c r="Z61" s="113">
        <v>4500</v>
      </c>
      <c r="AA61" s="114"/>
      <c r="AB61" s="114"/>
      <c r="AC61" s="115"/>
      <c r="AD61" s="51">
        <f t="shared" si="0"/>
        <v>18000</v>
      </c>
      <c r="AE61" s="52"/>
      <c r="AF61" s="52"/>
      <c r="AG61" s="52"/>
      <c r="AH61" s="53"/>
      <c r="AI61" s="28"/>
      <c r="AN61" s="29"/>
    </row>
    <row r="62" spans="2:40" s="1" customFormat="1" ht="34.5" customHeight="1">
      <c r="B62" s="14" t="s">
        <v>105</v>
      </c>
      <c r="C62" s="40" t="s">
        <v>192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2"/>
      <c r="U62" s="43" t="s">
        <v>68</v>
      </c>
      <c r="V62" s="44"/>
      <c r="W62" s="45">
        <v>2</v>
      </c>
      <c r="X62" s="46"/>
      <c r="Y62" s="47"/>
      <c r="Z62" s="113">
        <v>13500</v>
      </c>
      <c r="AA62" s="114"/>
      <c r="AB62" s="114"/>
      <c r="AC62" s="115"/>
      <c r="AD62" s="51">
        <f t="shared" si="0"/>
        <v>27000</v>
      </c>
      <c r="AE62" s="52"/>
      <c r="AF62" s="52"/>
      <c r="AG62" s="52"/>
      <c r="AH62" s="53"/>
      <c r="AI62" s="28"/>
      <c r="AN62" s="29"/>
    </row>
    <row r="63" spans="2:40" s="1" customFormat="1" ht="34.5" customHeight="1">
      <c r="B63" s="14" t="s">
        <v>107</v>
      </c>
      <c r="C63" s="40" t="s">
        <v>193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2"/>
      <c r="U63" s="43" t="s">
        <v>68</v>
      </c>
      <c r="V63" s="44"/>
      <c r="W63" s="45">
        <v>1</v>
      </c>
      <c r="X63" s="46"/>
      <c r="Y63" s="47"/>
      <c r="Z63" s="113">
        <v>10500</v>
      </c>
      <c r="AA63" s="114"/>
      <c r="AB63" s="114"/>
      <c r="AC63" s="115"/>
      <c r="AD63" s="51">
        <f t="shared" si="0"/>
        <v>10500</v>
      </c>
      <c r="AE63" s="52"/>
      <c r="AF63" s="52"/>
      <c r="AG63" s="52"/>
      <c r="AH63" s="53"/>
      <c r="AI63" s="28"/>
      <c r="AN63" s="29"/>
    </row>
    <row r="64" spans="2:40" s="1" customFormat="1" ht="32.25" customHeight="1">
      <c r="B64" s="14" t="s">
        <v>109</v>
      </c>
      <c r="C64" s="40" t="s">
        <v>194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2"/>
      <c r="U64" s="43" t="s">
        <v>68</v>
      </c>
      <c r="V64" s="44"/>
      <c r="W64" s="45">
        <v>3</v>
      </c>
      <c r="X64" s="46"/>
      <c r="Y64" s="47"/>
      <c r="Z64" s="113">
        <v>25200</v>
      </c>
      <c r="AA64" s="114"/>
      <c r="AB64" s="114"/>
      <c r="AC64" s="115"/>
      <c r="AD64" s="51">
        <f t="shared" si="0"/>
        <v>75600</v>
      </c>
      <c r="AE64" s="52"/>
      <c r="AF64" s="52"/>
      <c r="AG64" s="52"/>
      <c r="AH64" s="53"/>
      <c r="AI64" s="28"/>
      <c r="AN64" s="29"/>
    </row>
    <row r="65" spans="2:40" s="1" customFormat="1" ht="39" customHeight="1">
      <c r="B65" s="14" t="s">
        <v>111</v>
      </c>
      <c r="C65" s="40" t="s">
        <v>195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2"/>
      <c r="U65" s="43" t="s">
        <v>68</v>
      </c>
      <c r="V65" s="44"/>
      <c r="W65" s="45">
        <v>2</v>
      </c>
      <c r="X65" s="46"/>
      <c r="Y65" s="47"/>
      <c r="Z65" s="113">
        <v>22800</v>
      </c>
      <c r="AA65" s="114"/>
      <c r="AB65" s="114"/>
      <c r="AC65" s="115"/>
      <c r="AD65" s="51">
        <f t="shared" si="0"/>
        <v>45600</v>
      </c>
      <c r="AE65" s="52"/>
      <c r="AF65" s="52"/>
      <c r="AG65" s="52"/>
      <c r="AH65" s="53"/>
      <c r="AI65" s="28"/>
      <c r="AN65" s="29"/>
    </row>
    <row r="66" spans="2:40" s="1" customFormat="1" ht="40.5" customHeight="1">
      <c r="B66" s="14" t="s">
        <v>113</v>
      </c>
      <c r="C66" s="40" t="s">
        <v>196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2"/>
      <c r="U66" s="43" t="s">
        <v>68</v>
      </c>
      <c r="V66" s="44"/>
      <c r="W66" s="45">
        <v>1</v>
      </c>
      <c r="X66" s="46"/>
      <c r="Y66" s="47"/>
      <c r="Z66" s="113">
        <v>17100</v>
      </c>
      <c r="AA66" s="114"/>
      <c r="AB66" s="114"/>
      <c r="AC66" s="115"/>
      <c r="AD66" s="51">
        <f t="shared" si="0"/>
        <v>17100</v>
      </c>
      <c r="AE66" s="52"/>
      <c r="AF66" s="52"/>
      <c r="AG66" s="52"/>
      <c r="AH66" s="53"/>
      <c r="AI66" s="28"/>
      <c r="AN66" s="29"/>
    </row>
    <row r="67" spans="2:40" s="1" customFormat="1" ht="38.25" customHeight="1">
      <c r="B67" s="14" t="s">
        <v>115</v>
      </c>
      <c r="C67" s="40" t="s">
        <v>197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2"/>
      <c r="U67" s="43" t="s">
        <v>68</v>
      </c>
      <c r="V67" s="44"/>
      <c r="W67" s="45">
        <v>2</v>
      </c>
      <c r="X67" s="46"/>
      <c r="Y67" s="47"/>
      <c r="Z67" s="113">
        <v>19500</v>
      </c>
      <c r="AA67" s="114"/>
      <c r="AB67" s="114"/>
      <c r="AC67" s="115"/>
      <c r="AD67" s="51">
        <f t="shared" si="0"/>
        <v>39000</v>
      </c>
      <c r="AE67" s="52"/>
      <c r="AF67" s="52"/>
      <c r="AG67" s="52"/>
      <c r="AH67" s="53"/>
      <c r="AI67" s="28"/>
      <c r="AN67" s="29"/>
    </row>
    <row r="68" spans="2:40" s="1" customFormat="1" ht="40.5" customHeight="1">
      <c r="B68" s="14" t="s">
        <v>117</v>
      </c>
      <c r="C68" s="40" t="s">
        <v>198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2"/>
      <c r="U68" s="43" t="s">
        <v>68</v>
      </c>
      <c r="V68" s="44"/>
      <c r="W68" s="45">
        <v>1</v>
      </c>
      <c r="X68" s="46"/>
      <c r="Y68" s="47"/>
      <c r="Z68" s="113">
        <v>20100</v>
      </c>
      <c r="AA68" s="114"/>
      <c r="AB68" s="114"/>
      <c r="AC68" s="115"/>
      <c r="AD68" s="51">
        <f t="shared" si="0"/>
        <v>20100</v>
      </c>
      <c r="AE68" s="52"/>
      <c r="AF68" s="52"/>
      <c r="AG68" s="52"/>
      <c r="AH68" s="53"/>
      <c r="AI68" s="28"/>
      <c r="AN68" s="29"/>
    </row>
    <row r="69" spans="2:40" s="1" customFormat="1" ht="42.75" customHeight="1">
      <c r="B69" s="14" t="s">
        <v>119</v>
      </c>
      <c r="C69" s="40" t="s">
        <v>199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2"/>
      <c r="U69" s="43" t="s">
        <v>68</v>
      </c>
      <c r="V69" s="44"/>
      <c r="W69" s="45">
        <v>1</v>
      </c>
      <c r="X69" s="46"/>
      <c r="Y69" s="47"/>
      <c r="Z69" s="113">
        <v>45000</v>
      </c>
      <c r="AA69" s="114"/>
      <c r="AB69" s="114"/>
      <c r="AC69" s="115"/>
      <c r="AD69" s="51">
        <f t="shared" si="0"/>
        <v>45000</v>
      </c>
      <c r="AE69" s="52"/>
      <c r="AF69" s="52"/>
      <c r="AG69" s="52"/>
      <c r="AH69" s="53"/>
      <c r="AI69" s="28"/>
      <c r="AN69" s="29"/>
    </row>
    <row r="70" spans="2:40" s="1" customFormat="1" ht="42.75" customHeight="1">
      <c r="B70" s="14" t="s">
        <v>121</v>
      </c>
      <c r="C70" s="40" t="s">
        <v>200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2"/>
      <c r="U70" s="43" t="s">
        <v>68</v>
      </c>
      <c r="V70" s="44"/>
      <c r="W70" s="45">
        <v>2</v>
      </c>
      <c r="X70" s="46"/>
      <c r="Y70" s="47"/>
      <c r="Z70" s="113">
        <v>6000</v>
      </c>
      <c r="AA70" s="114"/>
      <c r="AB70" s="114"/>
      <c r="AC70" s="115"/>
      <c r="AD70" s="51">
        <f t="shared" si="0"/>
        <v>12000</v>
      </c>
      <c r="AE70" s="52"/>
      <c r="AF70" s="52"/>
      <c r="AG70" s="52"/>
      <c r="AH70" s="53"/>
      <c r="AI70" s="28"/>
      <c r="AN70" s="29"/>
    </row>
    <row r="71" spans="2:40" s="1" customFormat="1" ht="28.5" customHeight="1">
      <c r="B71" s="14" t="s">
        <v>123</v>
      </c>
      <c r="C71" s="40" t="s">
        <v>201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2"/>
      <c r="U71" s="43" t="s">
        <v>68</v>
      </c>
      <c r="V71" s="44"/>
      <c r="W71" s="45">
        <v>11</v>
      </c>
      <c r="X71" s="46"/>
      <c r="Y71" s="47"/>
      <c r="Z71" s="113">
        <v>4050</v>
      </c>
      <c r="AA71" s="114"/>
      <c r="AB71" s="114"/>
      <c r="AC71" s="115"/>
      <c r="AD71" s="51">
        <f t="shared" si="0"/>
        <v>44550</v>
      </c>
      <c r="AE71" s="52"/>
      <c r="AF71" s="52"/>
      <c r="AG71" s="52"/>
      <c r="AH71" s="53"/>
      <c r="AI71" s="28"/>
      <c r="AN71" s="29"/>
    </row>
    <row r="72" spans="2:40" s="1" customFormat="1" ht="28.5" customHeight="1">
      <c r="B72" s="14" t="s">
        <v>125</v>
      </c>
      <c r="C72" s="40" t="s">
        <v>202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2"/>
      <c r="U72" s="43" t="s">
        <v>68</v>
      </c>
      <c r="V72" s="44"/>
      <c r="W72" s="45">
        <v>1</v>
      </c>
      <c r="X72" s="46"/>
      <c r="Y72" s="47"/>
      <c r="Z72" s="113">
        <v>2700</v>
      </c>
      <c r="AA72" s="114"/>
      <c r="AB72" s="114"/>
      <c r="AC72" s="115"/>
      <c r="AD72" s="51">
        <f t="shared" si="0"/>
        <v>2700</v>
      </c>
      <c r="AE72" s="52"/>
      <c r="AF72" s="52"/>
      <c r="AG72" s="52"/>
      <c r="AH72" s="53"/>
      <c r="AI72" s="28"/>
      <c r="AN72" s="29"/>
    </row>
    <row r="73" spans="2:40" s="1" customFormat="1" ht="28.5" customHeight="1">
      <c r="B73" s="14" t="s">
        <v>127</v>
      </c>
      <c r="C73" s="40" t="s">
        <v>203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2"/>
      <c r="U73" s="43" t="s">
        <v>68</v>
      </c>
      <c r="V73" s="44"/>
      <c r="W73" s="45">
        <v>2</v>
      </c>
      <c r="X73" s="46"/>
      <c r="Y73" s="47"/>
      <c r="Z73" s="113">
        <v>2250</v>
      </c>
      <c r="AA73" s="114"/>
      <c r="AB73" s="114"/>
      <c r="AC73" s="115"/>
      <c r="AD73" s="51">
        <f t="shared" si="0"/>
        <v>4500</v>
      </c>
      <c r="AE73" s="52"/>
      <c r="AF73" s="52"/>
      <c r="AG73" s="52"/>
      <c r="AH73" s="53"/>
      <c r="AI73" s="28"/>
      <c r="AN73" s="29"/>
    </row>
    <row r="74" spans="2:40" s="1" customFormat="1" ht="28.5" customHeight="1">
      <c r="B74" s="14" t="s">
        <v>129</v>
      </c>
      <c r="C74" s="40" t="s">
        <v>204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2"/>
      <c r="U74" s="43" t="s">
        <v>131</v>
      </c>
      <c r="V74" s="44"/>
      <c r="W74" s="45">
        <v>1</v>
      </c>
      <c r="X74" s="46"/>
      <c r="Y74" s="47"/>
      <c r="Z74" s="113">
        <v>30000</v>
      </c>
      <c r="AA74" s="114"/>
      <c r="AB74" s="114"/>
      <c r="AC74" s="115"/>
      <c r="AD74" s="51">
        <f t="shared" si="0"/>
        <v>30000</v>
      </c>
      <c r="AE74" s="52"/>
      <c r="AF74" s="52"/>
      <c r="AG74" s="52"/>
      <c r="AH74" s="53"/>
      <c r="AI74" s="28"/>
      <c r="AN74" s="29"/>
    </row>
    <row r="75" spans="2:40" s="1" customFormat="1" ht="40.5" customHeight="1" thickBot="1">
      <c r="B75" s="14" t="s">
        <v>132</v>
      </c>
      <c r="C75" s="82" t="s">
        <v>205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4"/>
      <c r="U75" s="85" t="s">
        <v>26</v>
      </c>
      <c r="V75" s="86"/>
      <c r="W75" s="87">
        <v>32.6</v>
      </c>
      <c r="X75" s="88"/>
      <c r="Y75" s="89"/>
      <c r="Z75" s="90">
        <v>1650</v>
      </c>
      <c r="AA75" s="91"/>
      <c r="AB75" s="91"/>
      <c r="AC75" s="92"/>
      <c r="AD75" s="93">
        <f t="shared" si="0"/>
        <v>53790</v>
      </c>
      <c r="AE75" s="94"/>
      <c r="AF75" s="94"/>
      <c r="AG75" s="94"/>
      <c r="AH75" s="95"/>
      <c r="AI75" s="28"/>
      <c r="AN75" s="29"/>
    </row>
    <row r="76" spans="2:40" s="1" customFormat="1" ht="40.5" customHeight="1" thickBot="1">
      <c r="B76" s="14" t="s">
        <v>207</v>
      </c>
      <c r="C76" s="82" t="s">
        <v>210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4"/>
      <c r="U76" s="85" t="s">
        <v>68</v>
      </c>
      <c r="V76" s="86"/>
      <c r="W76" s="87">
        <v>1</v>
      </c>
      <c r="X76" s="88"/>
      <c r="Y76" s="89"/>
      <c r="Z76" s="90">
        <v>120000</v>
      </c>
      <c r="AA76" s="91"/>
      <c r="AB76" s="91"/>
      <c r="AC76" s="92"/>
      <c r="AD76" s="93">
        <f t="shared" si="0"/>
        <v>120000</v>
      </c>
      <c r="AE76" s="94"/>
      <c r="AF76" s="94"/>
      <c r="AG76" s="94"/>
      <c r="AH76" s="95"/>
      <c r="AI76" s="28"/>
      <c r="AN76" s="29"/>
    </row>
    <row r="77" spans="2:40" s="1" customFormat="1" ht="40.5" customHeight="1" thickBot="1">
      <c r="B77" s="14" t="s">
        <v>208</v>
      </c>
      <c r="C77" s="82" t="s">
        <v>211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4"/>
      <c r="U77" s="85" t="s">
        <v>68</v>
      </c>
      <c r="V77" s="86"/>
      <c r="W77" s="87">
        <v>1</v>
      </c>
      <c r="X77" s="88"/>
      <c r="Y77" s="89"/>
      <c r="Z77" s="90">
        <v>80000</v>
      </c>
      <c r="AA77" s="91"/>
      <c r="AB77" s="91"/>
      <c r="AC77" s="92"/>
      <c r="AD77" s="93">
        <f t="shared" si="0"/>
        <v>80000</v>
      </c>
      <c r="AE77" s="94"/>
      <c r="AF77" s="94"/>
      <c r="AG77" s="94"/>
      <c r="AH77" s="95"/>
      <c r="AI77" s="28"/>
      <c r="AN77" s="29"/>
    </row>
    <row r="78" spans="2:40" s="1" customFormat="1" ht="40.5" customHeight="1" thickBot="1">
      <c r="B78" s="14" t="s">
        <v>209</v>
      </c>
      <c r="C78" s="82" t="s">
        <v>212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4"/>
      <c r="U78" s="85" t="s">
        <v>68</v>
      </c>
      <c r="V78" s="86"/>
      <c r="W78" s="87">
        <v>1</v>
      </c>
      <c r="X78" s="88"/>
      <c r="Y78" s="89"/>
      <c r="Z78" s="90">
        <v>10000</v>
      </c>
      <c r="AA78" s="91"/>
      <c r="AB78" s="91"/>
      <c r="AC78" s="92"/>
      <c r="AD78" s="93">
        <f t="shared" si="0"/>
        <v>10000</v>
      </c>
      <c r="AE78" s="94"/>
      <c r="AF78" s="94"/>
      <c r="AG78" s="94"/>
      <c r="AH78" s="95"/>
      <c r="AI78" s="28"/>
      <c r="AN78" s="29"/>
    </row>
    <row r="79" spans="2:40" s="3" customFormat="1" ht="22.5" customHeight="1"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36"/>
      <c r="Z79" s="117" t="s">
        <v>134</v>
      </c>
      <c r="AA79" s="118"/>
      <c r="AB79" s="118"/>
      <c r="AC79" s="119"/>
      <c r="AD79" s="120">
        <f>SUM(AD23:AH78)</f>
        <v>4476952.0500000007</v>
      </c>
      <c r="AE79" s="121"/>
      <c r="AF79" s="121"/>
      <c r="AG79" s="121"/>
      <c r="AH79" s="122"/>
    </row>
    <row r="80" spans="2:40" s="3" customFormat="1" ht="40.5" customHeight="1">
      <c r="B80" s="133" t="s">
        <v>218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33"/>
      <c r="Y80" s="33"/>
      <c r="Z80" s="143" t="s">
        <v>220</v>
      </c>
      <c r="AA80" s="144"/>
      <c r="AB80" s="144"/>
      <c r="AC80" s="145"/>
      <c r="AD80" s="138">
        <f>+AD79*0.19</f>
        <v>850620.88950000016</v>
      </c>
      <c r="AE80" s="139"/>
      <c r="AF80" s="139"/>
      <c r="AG80" s="139"/>
      <c r="AH80" s="140"/>
    </row>
    <row r="81" spans="2:47" s="3" customFormat="1" ht="35.25" customHeight="1" thickBot="1">
      <c r="B81" s="123" t="s">
        <v>219</v>
      </c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33"/>
      <c r="Y81" s="33"/>
      <c r="Z81" s="124" t="s">
        <v>138</v>
      </c>
      <c r="AA81" s="125"/>
      <c r="AB81" s="125"/>
      <c r="AC81" s="126"/>
      <c r="AD81" s="127">
        <f>+AD79</f>
        <v>4476952.0500000007</v>
      </c>
      <c r="AE81" s="128"/>
      <c r="AF81" s="128"/>
      <c r="AG81" s="128"/>
      <c r="AH81" s="129"/>
    </row>
    <row r="82" spans="2:47" s="3" customFormat="1" ht="22.5" customHeight="1">
      <c r="B82" s="130" t="s">
        <v>139</v>
      </c>
      <c r="C82" s="130"/>
      <c r="D82" s="130"/>
      <c r="E82" s="130"/>
      <c r="F82" s="130"/>
      <c r="G82" s="130"/>
      <c r="H82" s="131"/>
      <c r="I82" s="131"/>
      <c r="J82" s="131"/>
      <c r="K82" s="131"/>
      <c r="L82" s="131"/>
      <c r="M82" s="131"/>
      <c r="N82" s="131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7"/>
      <c r="AA82" s="37"/>
      <c r="AB82" s="37"/>
      <c r="AC82" s="37"/>
      <c r="AD82" s="38"/>
      <c r="AE82" s="38"/>
      <c r="AF82" s="38"/>
      <c r="AG82" s="38"/>
      <c r="AH82" s="38"/>
    </row>
    <row r="83" spans="2:47"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32"/>
      <c r="S83" s="3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2:47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2"/>
      <c r="M84" s="32"/>
      <c r="N84" s="32"/>
      <c r="O84" s="32"/>
      <c r="P84" s="32"/>
      <c r="Q84" s="32"/>
      <c r="R84" s="32"/>
      <c r="S84" s="32"/>
      <c r="T84" s="31"/>
      <c r="U84" s="31"/>
      <c r="V84" s="31"/>
      <c r="W84" s="31"/>
      <c r="X84" s="31"/>
      <c r="Y84" s="31"/>
      <c r="Z84" s="31"/>
      <c r="AA84" s="31"/>
      <c r="AB84" s="32"/>
      <c r="AC84" s="32"/>
      <c r="AD84" s="32"/>
      <c r="AE84" s="32"/>
      <c r="AF84" s="32"/>
      <c r="AG84" s="32"/>
      <c r="AH84" s="3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2:47" ht="15.75" thickBo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2"/>
      <c r="M85" s="32"/>
      <c r="N85" s="32"/>
      <c r="O85" s="32"/>
      <c r="P85" s="32"/>
      <c r="Q85" s="32"/>
      <c r="R85" s="32"/>
      <c r="S85" s="32"/>
      <c r="T85" s="34" t="s">
        <v>140</v>
      </c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9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2:47" ht="15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2"/>
      <c r="M86" s="32"/>
      <c r="N86" s="32"/>
      <c r="O86" s="32"/>
      <c r="P86" s="32"/>
      <c r="Q86" s="32"/>
      <c r="R86" s="32"/>
      <c r="S86" s="32"/>
      <c r="T86" s="35" t="s">
        <v>141</v>
      </c>
      <c r="U86" s="35"/>
      <c r="V86" s="35"/>
      <c r="W86" s="35"/>
      <c r="X86" s="35"/>
      <c r="Y86" s="35"/>
      <c r="Z86" s="35"/>
      <c r="AA86" s="35"/>
      <c r="AB86" s="6"/>
      <c r="AC86" s="6"/>
      <c r="AD86" s="6"/>
      <c r="AE86" s="6"/>
      <c r="AF86" s="6"/>
      <c r="AG86" s="6"/>
      <c r="AH86" s="3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2:47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  <c r="M87" s="32"/>
      <c r="N87" s="32"/>
      <c r="O87" s="32"/>
      <c r="P87" s="32"/>
      <c r="Q87" s="32"/>
      <c r="R87" s="32"/>
      <c r="S87" s="32"/>
      <c r="T87" s="31"/>
      <c r="U87" s="31"/>
      <c r="V87" s="31"/>
      <c r="W87" s="31"/>
      <c r="X87" s="31"/>
      <c r="Y87" s="31"/>
      <c r="Z87" s="31"/>
      <c r="AA87" s="31"/>
      <c r="AB87" s="32"/>
      <c r="AC87" s="32"/>
      <c r="AD87" s="32"/>
      <c r="AE87" s="32"/>
      <c r="AF87" s="32"/>
      <c r="AG87" s="32"/>
      <c r="AH87" s="3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2:47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  <c r="M88" s="32"/>
      <c r="N88" s="32"/>
      <c r="O88" s="32"/>
      <c r="P88" s="32"/>
      <c r="Q88" s="32"/>
      <c r="R88" s="32"/>
      <c r="S88" s="32"/>
      <c r="T88" s="31"/>
      <c r="U88" s="31"/>
      <c r="V88" s="31"/>
      <c r="W88" s="31"/>
      <c r="X88" s="31"/>
      <c r="Y88" s="31"/>
      <c r="Z88" s="31"/>
      <c r="AA88" s="31"/>
      <c r="AB88" s="32"/>
      <c r="AC88" s="32"/>
      <c r="AD88" s="32"/>
      <c r="AE88" s="32"/>
      <c r="AF88" s="32"/>
      <c r="AG88" s="32"/>
      <c r="AH88" s="3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2:47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  <c r="M89" s="32"/>
      <c r="N89" s="32"/>
      <c r="O89" s="32"/>
      <c r="P89" s="32"/>
      <c r="Q89" s="32"/>
      <c r="R89" s="32"/>
      <c r="S89" s="32"/>
      <c r="T89" s="31"/>
      <c r="U89" s="31"/>
      <c r="V89" s="31"/>
      <c r="W89" s="31"/>
      <c r="X89" s="31"/>
      <c r="Y89" s="31"/>
      <c r="Z89" s="31"/>
      <c r="AA89" s="31"/>
      <c r="AB89" s="32"/>
      <c r="AC89" s="32"/>
      <c r="AD89" s="32"/>
      <c r="AE89" s="32"/>
      <c r="AF89" s="32"/>
      <c r="AG89" s="32"/>
      <c r="AH89" s="32"/>
      <c r="AK89" s="31"/>
      <c r="AL89" s="31"/>
      <c r="AM89" s="32"/>
      <c r="AN89" s="32"/>
      <c r="AO89" s="32"/>
      <c r="AP89" s="32"/>
      <c r="AQ89" s="32"/>
      <c r="AR89" s="32"/>
      <c r="AS89" s="32"/>
    </row>
    <row r="90" spans="2:47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K90" s="32"/>
      <c r="AL90" s="32"/>
      <c r="AM90" s="32"/>
      <c r="AN90" s="32"/>
      <c r="AO90" s="32"/>
      <c r="AP90" s="32"/>
      <c r="AQ90" s="32"/>
      <c r="AR90" s="32"/>
      <c r="AS90" s="32"/>
    </row>
    <row r="91" spans="2:47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K91" s="32"/>
      <c r="AL91" s="32"/>
      <c r="AM91" s="32"/>
      <c r="AN91" s="32"/>
      <c r="AO91" s="32"/>
      <c r="AP91" s="32"/>
      <c r="AQ91" s="32"/>
      <c r="AR91" s="32"/>
      <c r="AS91" s="32"/>
    </row>
    <row r="92" spans="2:47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K92" s="32"/>
      <c r="AL92" s="32"/>
      <c r="AM92" s="32"/>
      <c r="AN92" s="32"/>
      <c r="AO92" s="32"/>
      <c r="AP92" s="32"/>
      <c r="AQ92" s="32"/>
      <c r="AR92" s="32"/>
      <c r="AS92" s="32"/>
    </row>
    <row r="93" spans="2:47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K93" s="32"/>
      <c r="AL93" s="32"/>
      <c r="AM93" s="32"/>
      <c r="AN93" s="32"/>
      <c r="AO93" s="32"/>
      <c r="AP93" s="32"/>
      <c r="AQ93" s="32"/>
      <c r="AR93" s="32"/>
      <c r="AS93" s="32"/>
    </row>
  </sheetData>
  <mergeCells count="329">
    <mergeCell ref="B82:G82"/>
    <mergeCell ref="H82:N82"/>
    <mergeCell ref="B83:Q83"/>
    <mergeCell ref="B80:W80"/>
    <mergeCell ref="Z80:AC80"/>
    <mergeCell ref="AD80:AH80"/>
    <mergeCell ref="B81:W81"/>
    <mergeCell ref="Z81:AC81"/>
    <mergeCell ref="AD81:AH81"/>
    <mergeCell ref="B79:X79"/>
    <mergeCell ref="Z79:AC79"/>
    <mergeCell ref="AD79:AH79"/>
    <mergeCell ref="C77:T77"/>
    <mergeCell ref="U77:V77"/>
    <mergeCell ref="W77:Y77"/>
    <mergeCell ref="Z77:AC77"/>
    <mergeCell ref="AD77:AH77"/>
    <mergeCell ref="C78:T78"/>
    <mergeCell ref="U78:V78"/>
    <mergeCell ref="W78:Y78"/>
    <mergeCell ref="Z78:AC78"/>
    <mergeCell ref="AD78:AH78"/>
    <mergeCell ref="C75:T75"/>
    <mergeCell ref="U75:V75"/>
    <mergeCell ref="W75:Y75"/>
    <mergeCell ref="Z75:AC75"/>
    <mergeCell ref="AD75:AH75"/>
    <mergeCell ref="C76:T76"/>
    <mergeCell ref="U76:V76"/>
    <mergeCell ref="W76:Y76"/>
    <mergeCell ref="Z76:AC76"/>
    <mergeCell ref="AD76:AH76"/>
    <mergeCell ref="C73:T73"/>
    <mergeCell ref="U73:V73"/>
    <mergeCell ref="W73:Y73"/>
    <mergeCell ref="Z73:AC73"/>
    <mergeCell ref="AD73:AH73"/>
    <mergeCell ref="C74:T74"/>
    <mergeCell ref="U74:V74"/>
    <mergeCell ref="W74:Y74"/>
    <mergeCell ref="Z74:AC74"/>
    <mergeCell ref="AD74:AH74"/>
    <mergeCell ref="C71:T71"/>
    <mergeCell ref="U71:V71"/>
    <mergeCell ref="W71:Y71"/>
    <mergeCell ref="Z71:AC71"/>
    <mergeCell ref="AD71:AH71"/>
    <mergeCell ref="C72:T72"/>
    <mergeCell ref="U72:V72"/>
    <mergeCell ref="W72:Y72"/>
    <mergeCell ref="Z72:AC72"/>
    <mergeCell ref="AD72:AH72"/>
    <mergeCell ref="C69:T69"/>
    <mergeCell ref="U69:V69"/>
    <mergeCell ref="W69:Y69"/>
    <mergeCell ref="Z69:AC69"/>
    <mergeCell ref="AD69:AH69"/>
    <mergeCell ref="C70:T70"/>
    <mergeCell ref="U70:V70"/>
    <mergeCell ref="W70:Y70"/>
    <mergeCell ref="Z70:AC70"/>
    <mergeCell ref="AD70:AH70"/>
    <mergeCell ref="C67:T67"/>
    <mergeCell ref="U67:V67"/>
    <mergeCell ref="W67:Y67"/>
    <mergeCell ref="Z67:AC67"/>
    <mergeCell ref="AD67:AH67"/>
    <mergeCell ref="C68:T68"/>
    <mergeCell ref="U68:V68"/>
    <mergeCell ref="W68:Y68"/>
    <mergeCell ref="Z68:AC68"/>
    <mergeCell ref="AD68:AH68"/>
    <mergeCell ref="C65:T65"/>
    <mergeCell ref="U65:V65"/>
    <mergeCell ref="W65:Y65"/>
    <mergeCell ref="Z65:AC65"/>
    <mergeCell ref="AD65:AH65"/>
    <mergeCell ref="C66:T66"/>
    <mergeCell ref="U66:V66"/>
    <mergeCell ref="W66:Y66"/>
    <mergeCell ref="Z66:AC66"/>
    <mergeCell ref="AD66:AH66"/>
    <mergeCell ref="C63:T63"/>
    <mergeCell ref="U63:V63"/>
    <mergeCell ref="W63:Y63"/>
    <mergeCell ref="Z63:AC63"/>
    <mergeCell ref="AD63:AH63"/>
    <mergeCell ref="C64:T64"/>
    <mergeCell ref="U64:V64"/>
    <mergeCell ref="W64:Y64"/>
    <mergeCell ref="Z64:AC64"/>
    <mergeCell ref="AD64:AH64"/>
    <mergeCell ref="C61:T61"/>
    <mergeCell ref="U61:V61"/>
    <mergeCell ref="W61:Y61"/>
    <mergeCell ref="Z61:AC61"/>
    <mergeCell ref="AD61:AH61"/>
    <mergeCell ref="C62:T62"/>
    <mergeCell ref="U62:V62"/>
    <mergeCell ref="W62:Y62"/>
    <mergeCell ref="Z62:AC62"/>
    <mergeCell ref="AD62:AH62"/>
    <mergeCell ref="C59:T59"/>
    <mergeCell ref="U59:V59"/>
    <mergeCell ref="W59:Y59"/>
    <mergeCell ref="Z59:AC59"/>
    <mergeCell ref="AD59:AH59"/>
    <mergeCell ref="C60:T60"/>
    <mergeCell ref="U60:V60"/>
    <mergeCell ref="W60:Y60"/>
    <mergeCell ref="Z60:AC60"/>
    <mergeCell ref="AD60:AH60"/>
    <mergeCell ref="C57:T57"/>
    <mergeCell ref="U57:V57"/>
    <mergeCell ref="W57:Y57"/>
    <mergeCell ref="Z57:AC57"/>
    <mergeCell ref="AD57:AH57"/>
    <mergeCell ref="C58:T58"/>
    <mergeCell ref="U58:V58"/>
    <mergeCell ref="W58:Y58"/>
    <mergeCell ref="Z58:AC58"/>
    <mergeCell ref="AD58:AH58"/>
    <mergeCell ref="C55:T55"/>
    <mergeCell ref="U55:V55"/>
    <mergeCell ref="W55:Y55"/>
    <mergeCell ref="Z55:AC55"/>
    <mergeCell ref="AD55:AH55"/>
    <mergeCell ref="C56:T56"/>
    <mergeCell ref="U56:V56"/>
    <mergeCell ref="W56:Y56"/>
    <mergeCell ref="Z56:AC56"/>
    <mergeCell ref="AD56:AH56"/>
    <mergeCell ref="C53:T53"/>
    <mergeCell ref="U53:V53"/>
    <mergeCell ref="W53:Y53"/>
    <mergeCell ref="Z53:AC53"/>
    <mergeCell ref="AD53:AH53"/>
    <mergeCell ref="C54:T54"/>
    <mergeCell ref="U54:V54"/>
    <mergeCell ref="W54:Y54"/>
    <mergeCell ref="Z54:AC54"/>
    <mergeCell ref="AD54:AH54"/>
    <mergeCell ref="C51:T51"/>
    <mergeCell ref="U51:V51"/>
    <mergeCell ref="W51:Y51"/>
    <mergeCell ref="Z51:AC51"/>
    <mergeCell ref="AD51:AH51"/>
    <mergeCell ref="C52:T52"/>
    <mergeCell ref="U52:V52"/>
    <mergeCell ref="W52:Y52"/>
    <mergeCell ref="Z52:AC52"/>
    <mergeCell ref="AD52:AH52"/>
    <mergeCell ref="C49:T49"/>
    <mergeCell ref="U49:V49"/>
    <mergeCell ref="W49:Y49"/>
    <mergeCell ref="Z49:AC49"/>
    <mergeCell ref="AD49:AH49"/>
    <mergeCell ref="C50:T50"/>
    <mergeCell ref="U50:V50"/>
    <mergeCell ref="W50:Y50"/>
    <mergeCell ref="Z50:AC50"/>
    <mergeCell ref="AD50:AH50"/>
    <mergeCell ref="C47:T47"/>
    <mergeCell ref="U47:V47"/>
    <mergeCell ref="W47:Y47"/>
    <mergeCell ref="Z47:AC47"/>
    <mergeCell ref="AD47:AH47"/>
    <mergeCell ref="C48:T48"/>
    <mergeCell ref="U48:V48"/>
    <mergeCell ref="W48:Y48"/>
    <mergeCell ref="Z48:AC48"/>
    <mergeCell ref="AD48:AH48"/>
    <mergeCell ref="C45:T45"/>
    <mergeCell ref="U45:V45"/>
    <mergeCell ref="W45:Y45"/>
    <mergeCell ref="Z45:AC45"/>
    <mergeCell ref="AD45:AH45"/>
    <mergeCell ref="C46:T46"/>
    <mergeCell ref="U46:V46"/>
    <mergeCell ref="W46:Y46"/>
    <mergeCell ref="Z46:AC46"/>
    <mergeCell ref="AD46:AH46"/>
    <mergeCell ref="C43:T43"/>
    <mergeCell ref="U43:V43"/>
    <mergeCell ref="W43:Y43"/>
    <mergeCell ref="Z43:AC43"/>
    <mergeCell ref="AD43:AH43"/>
    <mergeCell ref="C44:T44"/>
    <mergeCell ref="U44:V44"/>
    <mergeCell ref="W44:Y44"/>
    <mergeCell ref="Z44:AC44"/>
    <mergeCell ref="AD44:AH44"/>
    <mergeCell ref="C41:T41"/>
    <mergeCell ref="U41:V41"/>
    <mergeCell ref="W41:Y41"/>
    <mergeCell ref="Z41:AC41"/>
    <mergeCell ref="AD41:AH41"/>
    <mergeCell ref="C42:T42"/>
    <mergeCell ref="U42:V42"/>
    <mergeCell ref="W42:Y42"/>
    <mergeCell ref="Z42:AC42"/>
    <mergeCell ref="AD42:AH42"/>
    <mergeCell ref="C39:T39"/>
    <mergeCell ref="U39:V39"/>
    <mergeCell ref="W39:Y39"/>
    <mergeCell ref="Z39:AC39"/>
    <mergeCell ref="AD39:AH39"/>
    <mergeCell ref="C40:T40"/>
    <mergeCell ref="U40:V40"/>
    <mergeCell ref="W40:Y40"/>
    <mergeCell ref="Z40:AC40"/>
    <mergeCell ref="AD40:AH40"/>
    <mergeCell ref="C37:T37"/>
    <mergeCell ref="U37:V37"/>
    <mergeCell ref="W37:Y37"/>
    <mergeCell ref="Z37:AC37"/>
    <mergeCell ref="AD37:AH37"/>
    <mergeCell ref="C38:T38"/>
    <mergeCell ref="U38:V38"/>
    <mergeCell ref="W38:Y38"/>
    <mergeCell ref="Z38:AC38"/>
    <mergeCell ref="AD38:AH38"/>
    <mergeCell ref="C35:T35"/>
    <mergeCell ref="U35:V35"/>
    <mergeCell ref="W35:Y35"/>
    <mergeCell ref="Z35:AC35"/>
    <mergeCell ref="AD35:AH35"/>
    <mergeCell ref="C36:T36"/>
    <mergeCell ref="U36:V36"/>
    <mergeCell ref="W36:Y36"/>
    <mergeCell ref="Z36:AC36"/>
    <mergeCell ref="AD36:AH36"/>
    <mergeCell ref="C33:T33"/>
    <mergeCell ref="U33:V33"/>
    <mergeCell ref="W33:Y33"/>
    <mergeCell ref="Z33:AC33"/>
    <mergeCell ref="AD33:AH33"/>
    <mergeCell ref="C34:T34"/>
    <mergeCell ref="U34:V34"/>
    <mergeCell ref="W34:Y34"/>
    <mergeCell ref="Z34:AC34"/>
    <mergeCell ref="AD34:AH34"/>
    <mergeCell ref="C31:T31"/>
    <mergeCell ref="U31:V31"/>
    <mergeCell ref="W31:Y31"/>
    <mergeCell ref="Z31:AC31"/>
    <mergeCell ref="AD31:AH31"/>
    <mergeCell ref="C32:T32"/>
    <mergeCell ref="U32:V32"/>
    <mergeCell ref="W32:Y32"/>
    <mergeCell ref="Z32:AC32"/>
    <mergeCell ref="AD32:AH32"/>
    <mergeCell ref="C29:T29"/>
    <mergeCell ref="U29:V29"/>
    <mergeCell ref="W29:Y29"/>
    <mergeCell ref="Z29:AC29"/>
    <mergeCell ref="AD29:AH29"/>
    <mergeCell ref="C30:T30"/>
    <mergeCell ref="U30:V30"/>
    <mergeCell ref="W30:Y30"/>
    <mergeCell ref="Z30:AC30"/>
    <mergeCell ref="AD30:AH30"/>
    <mergeCell ref="C27:T27"/>
    <mergeCell ref="U27:V27"/>
    <mergeCell ref="W27:Y27"/>
    <mergeCell ref="Z27:AC27"/>
    <mergeCell ref="AD27:AH27"/>
    <mergeCell ref="C28:T28"/>
    <mergeCell ref="U28:V28"/>
    <mergeCell ref="W28:Y28"/>
    <mergeCell ref="Z28:AC28"/>
    <mergeCell ref="AD28:AH28"/>
    <mergeCell ref="C25:T25"/>
    <mergeCell ref="U25:V25"/>
    <mergeCell ref="W25:Y25"/>
    <mergeCell ref="Z25:AC25"/>
    <mergeCell ref="AD25:AH25"/>
    <mergeCell ref="C26:T26"/>
    <mergeCell ref="U26:V26"/>
    <mergeCell ref="W26:Y26"/>
    <mergeCell ref="Z26:AC26"/>
    <mergeCell ref="AD26:AH26"/>
    <mergeCell ref="C23:T23"/>
    <mergeCell ref="U23:V23"/>
    <mergeCell ref="W23:Y23"/>
    <mergeCell ref="Z23:AC23"/>
    <mergeCell ref="AD23:AH23"/>
    <mergeCell ref="C24:T24"/>
    <mergeCell ref="U24:V24"/>
    <mergeCell ref="W24:Y24"/>
    <mergeCell ref="Z24:AC24"/>
    <mergeCell ref="AD24:AH24"/>
    <mergeCell ref="AC17:AH17"/>
    <mergeCell ref="B18:C18"/>
    <mergeCell ref="E18:O18"/>
    <mergeCell ref="Y18:AB18"/>
    <mergeCell ref="C22:T22"/>
    <mergeCell ref="U22:V22"/>
    <mergeCell ref="W22:Y22"/>
    <mergeCell ref="Z22:AC22"/>
    <mergeCell ref="AD22:AH22"/>
    <mergeCell ref="B16:C16"/>
    <mergeCell ref="E16:O16"/>
    <mergeCell ref="S16:AB16"/>
    <mergeCell ref="B17:C17"/>
    <mergeCell ref="E17:O17"/>
    <mergeCell ref="Y17:AB17"/>
    <mergeCell ref="B13:D14"/>
    <mergeCell ref="E13:O14"/>
    <mergeCell ref="B15:D15"/>
    <mergeCell ref="E15:O15"/>
    <mergeCell ref="S15:AB15"/>
    <mergeCell ref="AC15:AH15"/>
    <mergeCell ref="J10:AE10"/>
    <mergeCell ref="B11:G11"/>
    <mergeCell ref="S11:X11"/>
    <mergeCell ref="Y11:AB11"/>
    <mergeCell ref="AC11:AH11"/>
    <mergeCell ref="B12:O12"/>
    <mergeCell ref="S12:U12"/>
    <mergeCell ref="V12:AD12"/>
    <mergeCell ref="I1:AD4"/>
    <mergeCell ref="I5:R5"/>
    <mergeCell ref="I6:Q6"/>
    <mergeCell ref="V6:AC6"/>
    <mergeCell ref="I7:P7"/>
    <mergeCell ref="B8:B9"/>
    <mergeCell ref="I8:O8"/>
    <mergeCell ref="I9:S9"/>
  </mergeCells>
  <pageMargins left="0.7" right="0.7" top="0.75" bottom="0.75" header="0.3" footer="0.3"/>
  <pageSetup paperSize="9" scale="52" orientation="portrait" horizontalDpi="1200" verticalDpi="1200" r:id="rId1"/>
  <colBreaks count="2" manualBreakCount="2">
    <brk id="35" max="84" man="1"/>
    <brk id="3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9312-583D-46B5-A490-48E6FA393B95}">
  <sheetPr>
    <pageSetUpPr fitToPage="1"/>
  </sheetPr>
  <dimension ref="B1:AU93"/>
  <sheetViews>
    <sheetView tabSelected="1" view="pageLayout" topLeftCell="A83" zoomScale="91" zoomScaleNormal="70" zoomScaleSheetLayoutView="70" zoomScalePageLayoutView="91" workbookViewId="0">
      <selection sqref="A1:AE102"/>
    </sheetView>
  </sheetViews>
  <sheetFormatPr baseColWidth="10" defaultColWidth="10.7109375" defaultRowHeight="15"/>
  <cols>
    <col min="1" max="1" width="5.28515625" customWidth="1"/>
    <col min="2" max="2" width="10.7109375" customWidth="1"/>
    <col min="3" max="6" width="2.85546875" customWidth="1"/>
    <col min="7" max="7" width="2.28515625" customWidth="1"/>
    <col min="8" max="9" width="2.85546875" customWidth="1"/>
    <col min="10" max="10" width="2.28515625" customWidth="1"/>
    <col min="11" max="11" width="0.140625" hidden="1" customWidth="1"/>
    <col min="12" max="12" width="4.42578125" customWidth="1"/>
    <col min="13" max="13" width="6.85546875" customWidth="1"/>
    <col min="14" max="14" width="7.140625" customWidth="1"/>
    <col min="15" max="16" width="2.85546875" customWidth="1"/>
    <col min="17" max="17" width="5.7109375" customWidth="1"/>
    <col min="18" max="18" width="6.28515625" customWidth="1"/>
    <col min="19" max="19" width="4.42578125" customWidth="1"/>
    <col min="20" max="20" width="17.140625" customWidth="1"/>
    <col min="21" max="21" width="4.5703125" customWidth="1"/>
    <col min="22" max="22" width="6" customWidth="1"/>
    <col min="23" max="23" width="2.85546875" customWidth="1"/>
    <col min="24" max="24" width="8.28515625" customWidth="1"/>
    <col min="25" max="25" width="3" customWidth="1"/>
    <col min="26" max="26" width="4.85546875" customWidth="1"/>
    <col min="27" max="27" width="2.28515625" customWidth="1"/>
    <col min="28" max="28" width="3.5703125" customWidth="1"/>
    <col min="29" max="29" width="6.7109375" customWidth="1"/>
    <col min="30" max="30" width="3.140625" customWidth="1"/>
    <col min="31" max="31" width="2.85546875" customWidth="1"/>
    <col min="32" max="32" width="3.42578125" customWidth="1"/>
    <col min="33" max="33" width="1.85546875" customWidth="1"/>
    <col min="34" max="34" width="5.7109375" customWidth="1"/>
    <col min="35" max="35" width="2.85546875" customWidth="1"/>
    <col min="36" max="36" width="6.7109375" customWidth="1"/>
    <col min="37" max="37" width="4.85546875" customWidth="1"/>
    <col min="38" max="38" width="2.28515625" customWidth="1"/>
    <col min="39" max="39" width="3.5703125" customWidth="1"/>
    <col min="40" max="40" width="14" customWidth="1"/>
    <col min="41" max="41" width="3.140625" customWidth="1"/>
    <col min="42" max="42" width="2.85546875" customWidth="1"/>
    <col min="43" max="43" width="3.42578125" customWidth="1"/>
    <col min="44" max="44" width="1.85546875" customWidth="1"/>
    <col min="45" max="45" width="5.7109375" customWidth="1"/>
    <col min="46" max="46" width="2.85546875" customWidth="1"/>
    <col min="47" max="47" width="6.85546875" customWidth="1"/>
    <col min="48" max="51" width="2.85546875" customWidth="1"/>
    <col min="52" max="52" width="6.28515625" customWidth="1"/>
    <col min="53" max="54" width="2.85546875" customWidth="1"/>
  </cols>
  <sheetData>
    <row r="1" spans="2:34" ht="22.5" customHeight="1">
      <c r="I1" s="54" t="s">
        <v>153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  <c r="AE1" s="22"/>
    </row>
    <row r="2" spans="2:34" ht="15" customHeight="1">
      <c r="I2" s="57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9"/>
      <c r="AE2" s="22"/>
    </row>
    <row r="3" spans="2:34" ht="17.25" customHeight="1"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9"/>
      <c r="AE3" s="23"/>
      <c r="AG3" s="6"/>
    </row>
    <row r="4" spans="2:34" ht="18.600000000000001" customHeight="1" thickBot="1"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2"/>
      <c r="AE4" s="4"/>
      <c r="AF4" s="23"/>
      <c r="AG4" s="6"/>
    </row>
    <row r="5" spans="2:34" ht="18.600000000000001" customHeight="1">
      <c r="I5" s="63" t="s">
        <v>149</v>
      </c>
      <c r="J5" s="63"/>
      <c r="K5" s="63"/>
      <c r="L5" s="63"/>
      <c r="M5" s="63"/>
      <c r="N5" s="63"/>
      <c r="O5" s="63"/>
      <c r="P5" s="63"/>
      <c r="Q5" s="63"/>
      <c r="R5" s="63"/>
      <c r="AG5" s="5"/>
    </row>
    <row r="6" spans="2:34">
      <c r="I6" s="63" t="s">
        <v>150</v>
      </c>
      <c r="J6" s="63"/>
      <c r="K6" s="63"/>
      <c r="L6" s="63"/>
      <c r="M6" s="63"/>
      <c r="N6" s="63"/>
      <c r="O6" s="63"/>
      <c r="P6" s="63"/>
      <c r="Q6" s="63"/>
      <c r="R6" s="5"/>
      <c r="S6" s="5"/>
      <c r="T6" s="5"/>
      <c r="U6" s="5"/>
      <c r="V6" s="64"/>
      <c r="W6" s="64"/>
      <c r="X6" s="64"/>
      <c r="Y6" s="64"/>
      <c r="Z6" s="64"/>
      <c r="AA6" s="64"/>
      <c r="AB6" s="64"/>
      <c r="AC6" s="64"/>
      <c r="AD6" s="5"/>
      <c r="AE6" s="5"/>
      <c r="AF6" s="5"/>
      <c r="AG6" s="5"/>
      <c r="AH6" s="9"/>
    </row>
    <row r="7" spans="2:34">
      <c r="I7" s="63" t="s">
        <v>151</v>
      </c>
      <c r="J7" s="63"/>
      <c r="K7" s="63"/>
      <c r="L7" s="63"/>
      <c r="M7" s="63"/>
      <c r="N7" s="63"/>
      <c r="O7" s="63"/>
      <c r="P7" s="6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8"/>
    </row>
    <row r="8" spans="2:34">
      <c r="B8" s="80" t="s">
        <v>1</v>
      </c>
      <c r="C8" s="4" t="s">
        <v>2</v>
      </c>
      <c r="D8" s="5"/>
      <c r="E8" s="5"/>
      <c r="F8" s="6"/>
      <c r="G8" s="6"/>
      <c r="I8" s="63" t="s">
        <v>152</v>
      </c>
      <c r="J8" s="63"/>
      <c r="K8" s="63"/>
      <c r="L8" s="63"/>
      <c r="M8" s="63"/>
      <c r="N8" s="63"/>
      <c r="O8" s="6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9"/>
    </row>
    <row r="9" spans="2:34" ht="15" customHeight="1">
      <c r="B9" s="80"/>
      <c r="C9" s="4" t="s">
        <v>3</v>
      </c>
      <c r="D9" s="5"/>
      <c r="E9" s="5"/>
      <c r="F9" s="6"/>
      <c r="G9" s="6"/>
      <c r="I9" s="81" t="s">
        <v>4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9"/>
    </row>
    <row r="10" spans="2:34" ht="11.25" customHeight="1" thickBot="1">
      <c r="B10" s="7"/>
      <c r="C10" s="8"/>
      <c r="D10" s="9"/>
      <c r="E10" s="9"/>
      <c r="I10" s="8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"/>
      <c r="AG10" s="9"/>
      <c r="AH10" s="9"/>
    </row>
    <row r="11" spans="2:34" ht="28.5" customHeight="1">
      <c r="B11" s="98" t="s">
        <v>5</v>
      </c>
      <c r="C11" s="98"/>
      <c r="D11" s="98"/>
      <c r="E11" s="98"/>
      <c r="F11" s="98"/>
      <c r="G11" s="98"/>
      <c r="H11" s="10"/>
      <c r="I11" s="10"/>
      <c r="J11" s="10"/>
      <c r="K11" s="10"/>
      <c r="L11" s="10"/>
      <c r="M11" s="10"/>
      <c r="N11" s="10"/>
      <c r="O11" s="10"/>
      <c r="P11" s="16"/>
      <c r="Q11" s="16"/>
      <c r="R11" s="16"/>
      <c r="S11" s="99" t="s">
        <v>221</v>
      </c>
      <c r="T11" s="99"/>
      <c r="U11" s="99"/>
      <c r="V11" s="99"/>
      <c r="W11" s="99"/>
      <c r="X11" s="99"/>
      <c r="Y11" s="100" t="s">
        <v>148</v>
      </c>
      <c r="Z11" s="100"/>
      <c r="AA11" s="100"/>
      <c r="AB11" s="100"/>
      <c r="AC11" s="178" t="s">
        <v>7</v>
      </c>
      <c r="AD11" s="178"/>
      <c r="AE11" s="178"/>
      <c r="AF11" s="178"/>
      <c r="AG11" s="178"/>
      <c r="AH11" s="178"/>
    </row>
    <row r="12" spans="2:34" ht="24.75" customHeight="1">
      <c r="B12" s="102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7"/>
      <c r="Q12" s="17"/>
      <c r="R12" s="19"/>
      <c r="S12" s="103" t="s">
        <v>9</v>
      </c>
      <c r="T12" s="103"/>
      <c r="U12" s="103"/>
      <c r="V12" s="104">
        <v>46127</v>
      </c>
      <c r="W12" s="104"/>
      <c r="X12" s="104"/>
      <c r="Y12" s="104"/>
      <c r="Z12" s="104"/>
      <c r="AA12" s="104"/>
      <c r="AB12" s="104"/>
      <c r="AC12" s="104"/>
      <c r="AD12" s="104"/>
      <c r="AE12" s="24"/>
      <c r="AF12" s="5"/>
      <c r="AG12" s="27"/>
      <c r="AH12" s="15"/>
    </row>
    <row r="13" spans="2:34" ht="15.75">
      <c r="B13" s="107" t="s">
        <v>10</v>
      </c>
      <c r="C13" s="107"/>
      <c r="D13" s="107"/>
      <c r="E13" s="65" t="s">
        <v>11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18"/>
      <c r="Q13" s="18"/>
      <c r="R13" s="19"/>
      <c r="S13" s="20"/>
      <c r="T13" s="20"/>
      <c r="U13" s="20"/>
      <c r="V13" s="21"/>
      <c r="W13" s="21"/>
      <c r="X13" s="21"/>
      <c r="Y13" s="21"/>
      <c r="Z13" s="21"/>
      <c r="AA13" s="21"/>
      <c r="AB13" s="21"/>
      <c r="AC13" s="21"/>
      <c r="AD13" s="25"/>
      <c r="AE13" s="5"/>
      <c r="AF13" s="5"/>
      <c r="AG13" s="27"/>
      <c r="AH13" s="15"/>
    </row>
    <row r="14" spans="2:34" ht="9.75" customHeight="1">
      <c r="B14" s="107"/>
      <c r="C14" s="107"/>
      <c r="D14" s="10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18"/>
      <c r="Q14" s="18"/>
      <c r="R14" s="19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>
      <c r="B15" s="81" t="s">
        <v>12</v>
      </c>
      <c r="C15" s="81"/>
      <c r="D15" s="81"/>
      <c r="E15" s="81" t="s">
        <v>13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18"/>
      <c r="Q15" s="18"/>
      <c r="R15" s="19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179"/>
      <c r="AD15" s="179"/>
      <c r="AE15" s="179"/>
      <c r="AF15" s="179"/>
      <c r="AG15" s="179"/>
      <c r="AH15" s="179"/>
    </row>
    <row r="16" spans="2:34">
      <c r="B16" s="81" t="s">
        <v>14</v>
      </c>
      <c r="C16" s="81"/>
      <c r="D16" s="4"/>
      <c r="E16" s="105" t="s">
        <v>15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8"/>
      <c r="Q16" s="18"/>
      <c r="R16" s="19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26"/>
      <c r="AD16" s="26"/>
      <c r="AE16" s="26"/>
      <c r="AF16" s="26"/>
      <c r="AG16" s="26"/>
      <c r="AH16" s="26"/>
    </row>
    <row r="17" spans="2:40">
      <c r="B17" s="81" t="s">
        <v>16</v>
      </c>
      <c r="C17" s="81"/>
      <c r="D17" s="4"/>
      <c r="E17" s="106" t="s">
        <v>7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8"/>
      <c r="Q17" s="18"/>
      <c r="R17" s="19"/>
      <c r="Y17" s="96"/>
      <c r="Z17" s="96"/>
      <c r="AA17" s="96"/>
      <c r="AB17" s="96"/>
      <c r="AC17" s="179"/>
      <c r="AD17" s="179"/>
      <c r="AE17" s="179"/>
      <c r="AF17" s="179"/>
      <c r="AG17" s="179"/>
      <c r="AH17" s="179"/>
    </row>
    <row r="18" spans="2:40">
      <c r="B18" s="81" t="s">
        <v>17</v>
      </c>
      <c r="C18" s="81"/>
      <c r="D18" s="4"/>
      <c r="E18" s="81">
        <v>16332112051</v>
      </c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18"/>
      <c r="Q18" s="18"/>
      <c r="R18" s="9"/>
      <c r="S18" s="5"/>
      <c r="T18" s="5"/>
      <c r="U18" s="5"/>
      <c r="V18" s="5"/>
      <c r="W18" s="5"/>
      <c r="X18" s="5"/>
      <c r="Y18" s="96"/>
      <c r="Z18" s="96"/>
      <c r="AA18" s="96"/>
      <c r="AB18" s="96"/>
      <c r="AC18" s="25"/>
      <c r="AD18" s="25"/>
      <c r="AE18" s="25"/>
      <c r="AF18" s="25"/>
      <c r="AG18" s="25"/>
      <c r="AH18" s="5"/>
    </row>
    <row r="19" spans="2:40">
      <c r="B19" s="11"/>
      <c r="C19" s="11"/>
      <c r="D19" s="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8"/>
      <c r="Q19" s="18"/>
      <c r="R19" s="9"/>
      <c r="S19" s="5"/>
      <c r="T19" s="5"/>
      <c r="U19" s="5"/>
      <c r="V19" s="5"/>
      <c r="W19" s="5"/>
      <c r="X19" s="5"/>
      <c r="Y19" s="26"/>
      <c r="Z19" s="26"/>
      <c r="AA19" s="26"/>
      <c r="AB19" s="26"/>
      <c r="AC19" s="25"/>
      <c r="AD19" s="25"/>
      <c r="AE19" s="25"/>
      <c r="AF19" s="25"/>
      <c r="AG19" s="25"/>
      <c r="AH19" s="5"/>
    </row>
    <row r="20" spans="2:40">
      <c r="B20" s="11" t="s">
        <v>215</v>
      </c>
      <c r="C20" s="4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8"/>
      <c r="Q20" s="18"/>
      <c r="R20" s="9"/>
      <c r="S20" s="5"/>
      <c r="T20" s="5"/>
      <c r="U20" s="5"/>
      <c r="V20" s="5"/>
      <c r="W20" s="5"/>
      <c r="X20" s="5"/>
      <c r="Y20" s="26"/>
      <c r="Z20" s="26"/>
      <c r="AA20" s="26"/>
      <c r="AB20" s="26"/>
      <c r="AC20" s="25"/>
      <c r="AD20" s="25"/>
      <c r="AE20" s="25"/>
      <c r="AF20" s="25"/>
      <c r="AG20" s="25"/>
      <c r="AH20" s="5"/>
    </row>
    <row r="21" spans="2:40" ht="15.75" thickBot="1">
      <c r="B21" s="11"/>
      <c r="C21" s="4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8"/>
      <c r="Q21" s="18"/>
      <c r="R21" s="9"/>
      <c r="S21" s="5"/>
      <c r="T21" s="5"/>
      <c r="U21" s="5"/>
      <c r="V21" s="5"/>
      <c r="W21" s="5"/>
      <c r="X21" s="5"/>
      <c r="Y21" s="26"/>
      <c r="Z21" s="146"/>
      <c r="AA21" s="146"/>
      <c r="AB21" s="146"/>
      <c r="AC21" s="147"/>
      <c r="AD21" s="147"/>
      <c r="AE21" s="147"/>
      <c r="AF21" s="147"/>
      <c r="AG21" s="147"/>
      <c r="AH21" s="148"/>
    </row>
    <row r="22" spans="2:40" s="1" customFormat="1" ht="18.75" customHeight="1" thickBot="1">
      <c r="B22" s="154" t="s">
        <v>18</v>
      </c>
      <c r="C22" s="108" t="s">
        <v>19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11"/>
      <c r="Z22" s="112" t="s">
        <v>20</v>
      </c>
      <c r="AA22" s="110"/>
      <c r="AB22" s="108" t="s">
        <v>21</v>
      </c>
      <c r="AC22" s="109"/>
      <c r="AD22" s="111"/>
      <c r="AE22" s="152"/>
      <c r="AF22" s="152"/>
      <c r="AG22" s="152"/>
      <c r="AH22" s="152"/>
    </row>
    <row r="23" spans="2:40" s="1" customFormat="1" ht="30.75" customHeight="1">
      <c r="B23" s="161" t="s">
        <v>24</v>
      </c>
      <c r="C23" s="162" t="s">
        <v>206</v>
      </c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4"/>
      <c r="Z23" s="155" t="s">
        <v>26</v>
      </c>
      <c r="AA23" s="70"/>
      <c r="AB23" s="71">
        <v>513.58000000000004</v>
      </c>
      <c r="AC23" s="72"/>
      <c r="AD23" s="73"/>
      <c r="AE23" s="153"/>
      <c r="AF23" s="153"/>
      <c r="AG23" s="153"/>
      <c r="AH23" s="153"/>
      <c r="AI23" s="28"/>
      <c r="AN23" s="29"/>
    </row>
    <row r="24" spans="2:40" s="1" customFormat="1" ht="42.75" customHeight="1">
      <c r="B24" s="14" t="s">
        <v>27</v>
      </c>
      <c r="C24" s="40" t="s">
        <v>154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159"/>
      <c r="Z24" s="156" t="s">
        <v>26</v>
      </c>
      <c r="AA24" s="44"/>
      <c r="AB24" s="45">
        <v>458.35</v>
      </c>
      <c r="AC24" s="46"/>
      <c r="AD24" s="47"/>
      <c r="AE24" s="153"/>
      <c r="AF24" s="153"/>
      <c r="AG24" s="153"/>
      <c r="AH24" s="153"/>
      <c r="AI24" s="28"/>
      <c r="AN24" s="29"/>
    </row>
    <row r="25" spans="2:40" s="1" customFormat="1" ht="29.25" customHeight="1">
      <c r="B25" s="14" t="s">
        <v>29</v>
      </c>
      <c r="C25" s="40" t="s">
        <v>155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159"/>
      <c r="Z25" s="156" t="s">
        <v>26</v>
      </c>
      <c r="AA25" s="44"/>
      <c r="AB25" s="45">
        <v>178.11</v>
      </c>
      <c r="AC25" s="46"/>
      <c r="AD25" s="47"/>
      <c r="AE25" s="153"/>
      <c r="AF25" s="153"/>
      <c r="AG25" s="153"/>
      <c r="AH25" s="153"/>
      <c r="AI25" s="28"/>
      <c r="AN25" s="29"/>
    </row>
    <row r="26" spans="2:40" s="1" customFormat="1" ht="44.25" customHeight="1">
      <c r="B26" s="14" t="s">
        <v>31</v>
      </c>
      <c r="C26" s="40" t="s">
        <v>156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159"/>
      <c r="Z26" s="156" t="s">
        <v>26</v>
      </c>
      <c r="AA26" s="44"/>
      <c r="AB26" s="45">
        <v>76</v>
      </c>
      <c r="AC26" s="46"/>
      <c r="AD26" s="47"/>
      <c r="AE26" s="153"/>
      <c r="AF26" s="153"/>
      <c r="AG26" s="153"/>
      <c r="AH26" s="153"/>
      <c r="AI26" s="28"/>
      <c r="AN26" s="29"/>
    </row>
    <row r="27" spans="2:40" s="1" customFormat="1" ht="33.75" customHeight="1">
      <c r="B27" s="14" t="s">
        <v>33</v>
      </c>
      <c r="C27" s="40" t="s">
        <v>157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159"/>
      <c r="Z27" s="156" t="s">
        <v>26</v>
      </c>
      <c r="AA27" s="44"/>
      <c r="AB27" s="45">
        <v>37.49</v>
      </c>
      <c r="AC27" s="46"/>
      <c r="AD27" s="47"/>
      <c r="AE27" s="153"/>
      <c r="AF27" s="153"/>
      <c r="AG27" s="153"/>
      <c r="AH27" s="153"/>
      <c r="AI27" s="28"/>
      <c r="AN27" s="29"/>
    </row>
    <row r="28" spans="2:40" s="1" customFormat="1" ht="34.5" customHeight="1">
      <c r="B28" s="14" t="s">
        <v>35</v>
      </c>
      <c r="C28" s="40" t="s">
        <v>158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159"/>
      <c r="Z28" s="156" t="s">
        <v>37</v>
      </c>
      <c r="AA28" s="44"/>
      <c r="AB28" s="45">
        <v>52.86</v>
      </c>
      <c r="AC28" s="46"/>
      <c r="AD28" s="47"/>
      <c r="AE28" s="153"/>
      <c r="AF28" s="153"/>
      <c r="AG28" s="153"/>
      <c r="AH28" s="153"/>
      <c r="AI28" s="28"/>
      <c r="AN28" s="29"/>
    </row>
    <row r="29" spans="2:40" s="1" customFormat="1" ht="33" customHeight="1">
      <c r="B29" s="14" t="s">
        <v>38</v>
      </c>
      <c r="C29" s="40" t="s">
        <v>159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159"/>
      <c r="Z29" s="156" t="s">
        <v>37</v>
      </c>
      <c r="AA29" s="44"/>
      <c r="AB29" s="45">
        <v>300</v>
      </c>
      <c r="AC29" s="46"/>
      <c r="AD29" s="47"/>
      <c r="AE29" s="153"/>
      <c r="AF29" s="153"/>
      <c r="AG29" s="153"/>
      <c r="AH29" s="153"/>
      <c r="AI29" s="28"/>
      <c r="AN29" s="29"/>
    </row>
    <row r="30" spans="2:40" s="1" customFormat="1" ht="33" customHeight="1">
      <c r="B30" s="14" t="s">
        <v>40</v>
      </c>
      <c r="C30" s="40" t="s">
        <v>160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159"/>
      <c r="Z30" s="156" t="s">
        <v>37</v>
      </c>
      <c r="AA30" s="44"/>
      <c r="AB30" s="45">
        <v>40</v>
      </c>
      <c r="AC30" s="46"/>
      <c r="AD30" s="47"/>
      <c r="AE30" s="153"/>
      <c r="AF30" s="153"/>
      <c r="AG30" s="153"/>
      <c r="AH30" s="153"/>
      <c r="AI30" s="28"/>
      <c r="AN30" s="29"/>
    </row>
    <row r="31" spans="2:40" s="1" customFormat="1" ht="34.5" customHeight="1">
      <c r="B31" s="14" t="s">
        <v>42</v>
      </c>
      <c r="C31" s="40" t="s">
        <v>161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159"/>
      <c r="Z31" s="156" t="s">
        <v>37</v>
      </c>
      <c r="AA31" s="44"/>
      <c r="AB31" s="45">
        <v>518.79999999999995</v>
      </c>
      <c r="AC31" s="46"/>
      <c r="AD31" s="47"/>
      <c r="AE31" s="153"/>
      <c r="AF31" s="153"/>
      <c r="AG31" s="153"/>
      <c r="AH31" s="153"/>
      <c r="AI31" s="28"/>
      <c r="AN31" s="29"/>
    </row>
    <row r="32" spans="2:40" s="2" customFormat="1" ht="24.75" customHeight="1">
      <c r="B32" s="14" t="s">
        <v>44</v>
      </c>
      <c r="C32" s="40" t="s">
        <v>162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159"/>
      <c r="Z32" s="156" t="s">
        <v>37</v>
      </c>
      <c r="AA32" s="44"/>
      <c r="AB32" s="45">
        <v>46.16</v>
      </c>
      <c r="AC32" s="46"/>
      <c r="AD32" s="47"/>
      <c r="AE32" s="153"/>
      <c r="AF32" s="153"/>
      <c r="AG32" s="153"/>
      <c r="AH32" s="153"/>
      <c r="AI32" s="28"/>
      <c r="AN32" s="29"/>
    </row>
    <row r="33" spans="2:40" s="2" customFormat="1" ht="24.75" customHeight="1">
      <c r="B33" s="14" t="s">
        <v>46</v>
      </c>
      <c r="C33" s="40" t="s">
        <v>163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159"/>
      <c r="Z33" s="156" t="s">
        <v>37</v>
      </c>
      <c r="AA33" s="44"/>
      <c r="AB33" s="45">
        <v>3</v>
      </c>
      <c r="AC33" s="46"/>
      <c r="AD33" s="47"/>
      <c r="AE33" s="153"/>
      <c r="AF33" s="153"/>
      <c r="AG33" s="153"/>
      <c r="AH33" s="153"/>
      <c r="AI33" s="28"/>
      <c r="AN33" s="29"/>
    </row>
    <row r="34" spans="2:40" s="2" customFormat="1" ht="24.75" customHeight="1">
      <c r="B34" s="14" t="s">
        <v>48</v>
      </c>
      <c r="C34" s="40" t="s">
        <v>164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159"/>
      <c r="Z34" s="156" t="s">
        <v>26</v>
      </c>
      <c r="AA34" s="44"/>
      <c r="AB34" s="45">
        <v>220</v>
      </c>
      <c r="AC34" s="46"/>
      <c r="AD34" s="47"/>
      <c r="AE34" s="153"/>
      <c r="AF34" s="153"/>
      <c r="AG34" s="153"/>
      <c r="AH34" s="153"/>
      <c r="AI34" s="28"/>
      <c r="AN34" s="29"/>
    </row>
    <row r="35" spans="2:40" s="1" customFormat="1" ht="33" customHeight="1">
      <c r="B35" s="14" t="s">
        <v>50</v>
      </c>
      <c r="C35" s="40" t="s">
        <v>165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159"/>
      <c r="Z35" s="156" t="s">
        <v>26</v>
      </c>
      <c r="AA35" s="44"/>
      <c r="AB35" s="45">
        <v>1495</v>
      </c>
      <c r="AC35" s="46"/>
      <c r="AD35" s="47"/>
      <c r="AE35" s="153"/>
      <c r="AF35" s="153"/>
      <c r="AG35" s="153"/>
      <c r="AH35" s="153"/>
      <c r="AI35" s="28"/>
      <c r="AN35" s="29"/>
    </row>
    <row r="36" spans="2:40" s="1" customFormat="1" ht="35.25" customHeight="1">
      <c r="B36" s="14" t="s">
        <v>52</v>
      </c>
      <c r="C36" s="40" t="s">
        <v>166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159"/>
      <c r="Z36" s="156" t="s">
        <v>26</v>
      </c>
      <c r="AA36" s="44"/>
      <c r="AB36" s="45">
        <v>7.37</v>
      </c>
      <c r="AC36" s="46"/>
      <c r="AD36" s="47"/>
      <c r="AE36" s="153"/>
      <c r="AF36" s="153"/>
      <c r="AG36" s="153"/>
      <c r="AH36" s="153"/>
      <c r="AI36" s="28"/>
      <c r="AN36" s="29"/>
    </row>
    <row r="37" spans="2:40" s="1" customFormat="1" ht="33" customHeight="1">
      <c r="B37" s="14" t="s">
        <v>54</v>
      </c>
      <c r="C37" s="40" t="s">
        <v>167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159"/>
      <c r="Z37" s="156" t="s">
        <v>26</v>
      </c>
      <c r="AA37" s="44"/>
      <c r="AB37" s="45">
        <v>38.9</v>
      </c>
      <c r="AC37" s="46"/>
      <c r="AD37" s="47"/>
      <c r="AE37" s="153"/>
      <c r="AF37" s="153"/>
      <c r="AG37" s="153"/>
      <c r="AH37" s="153"/>
      <c r="AI37" s="28"/>
      <c r="AN37" s="29"/>
    </row>
    <row r="38" spans="2:40" s="1" customFormat="1" ht="33" customHeight="1">
      <c r="B38" s="14" t="s">
        <v>56</v>
      </c>
      <c r="C38" s="40" t="s">
        <v>168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159"/>
      <c r="Z38" s="156" t="s">
        <v>26</v>
      </c>
      <c r="AA38" s="44"/>
      <c r="AB38" s="45">
        <v>22.85</v>
      </c>
      <c r="AC38" s="46"/>
      <c r="AD38" s="47"/>
      <c r="AE38" s="153"/>
      <c r="AF38" s="153"/>
      <c r="AG38" s="153"/>
      <c r="AH38" s="153"/>
      <c r="AI38" s="28"/>
      <c r="AN38" s="29"/>
    </row>
    <row r="39" spans="2:40" s="1" customFormat="1" ht="33" customHeight="1">
      <c r="B39" s="14" t="s">
        <v>58</v>
      </c>
      <c r="C39" s="40" t="s">
        <v>169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159"/>
      <c r="Z39" s="156" t="s">
        <v>26</v>
      </c>
      <c r="AA39" s="44"/>
      <c r="AB39" s="45">
        <v>563</v>
      </c>
      <c r="AC39" s="46"/>
      <c r="AD39" s="47"/>
      <c r="AE39" s="153"/>
      <c r="AF39" s="153"/>
      <c r="AG39" s="153"/>
      <c r="AH39" s="153"/>
      <c r="AI39" s="28"/>
      <c r="AN39" s="29"/>
    </row>
    <row r="40" spans="2:40" s="1" customFormat="1" ht="33" customHeight="1">
      <c r="B40" s="14" t="s">
        <v>60</v>
      </c>
      <c r="C40" s="40" t="s">
        <v>170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159"/>
      <c r="Z40" s="156" t="s">
        <v>37</v>
      </c>
      <c r="AA40" s="44"/>
      <c r="AB40" s="45">
        <v>311</v>
      </c>
      <c r="AC40" s="46"/>
      <c r="AD40" s="47"/>
      <c r="AE40" s="153"/>
      <c r="AF40" s="153"/>
      <c r="AG40" s="153"/>
      <c r="AH40" s="153"/>
      <c r="AI40" s="28"/>
      <c r="AN40" s="29"/>
    </row>
    <row r="41" spans="2:40" s="1" customFormat="1" ht="33" customHeight="1">
      <c r="B41" s="14" t="s">
        <v>62</v>
      </c>
      <c r="C41" s="40" t="s">
        <v>171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159"/>
      <c r="Z41" s="156" t="s">
        <v>26</v>
      </c>
      <c r="AA41" s="44"/>
      <c r="AB41" s="45">
        <v>84</v>
      </c>
      <c r="AC41" s="46"/>
      <c r="AD41" s="47"/>
      <c r="AE41" s="153"/>
      <c r="AF41" s="153"/>
      <c r="AG41" s="153"/>
      <c r="AH41" s="153"/>
      <c r="AI41" s="28"/>
      <c r="AN41" s="29"/>
    </row>
    <row r="42" spans="2:40" s="1" customFormat="1" ht="33" customHeight="1">
      <c r="B42" s="14" t="s">
        <v>64</v>
      </c>
      <c r="C42" s="40" t="s">
        <v>172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159"/>
      <c r="Z42" s="156" t="s">
        <v>37</v>
      </c>
      <c r="AA42" s="44"/>
      <c r="AB42" s="45">
        <v>30</v>
      </c>
      <c r="AC42" s="46"/>
      <c r="AD42" s="47"/>
      <c r="AE42" s="153"/>
      <c r="AF42" s="153"/>
      <c r="AG42" s="153"/>
      <c r="AH42" s="153"/>
      <c r="AI42" s="28"/>
      <c r="AN42" s="29"/>
    </row>
    <row r="43" spans="2:40" s="1" customFormat="1" ht="27" customHeight="1">
      <c r="B43" s="14" t="s">
        <v>66</v>
      </c>
      <c r="C43" s="40" t="s">
        <v>173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159"/>
      <c r="Z43" s="156" t="s">
        <v>68</v>
      </c>
      <c r="AA43" s="44"/>
      <c r="AB43" s="45">
        <v>3</v>
      </c>
      <c r="AC43" s="46"/>
      <c r="AD43" s="47"/>
      <c r="AE43" s="153"/>
      <c r="AF43" s="153"/>
      <c r="AG43" s="153"/>
      <c r="AH43" s="153"/>
      <c r="AI43" s="28"/>
      <c r="AN43" s="29"/>
    </row>
    <row r="44" spans="2:40" s="1" customFormat="1" ht="30" customHeight="1">
      <c r="B44" s="14" t="s">
        <v>69</v>
      </c>
      <c r="C44" s="40" t="s">
        <v>174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159"/>
      <c r="Z44" s="156" t="s">
        <v>68</v>
      </c>
      <c r="AA44" s="44"/>
      <c r="AB44" s="45">
        <v>4</v>
      </c>
      <c r="AC44" s="46"/>
      <c r="AD44" s="47"/>
      <c r="AE44" s="153"/>
      <c r="AF44" s="153"/>
      <c r="AG44" s="153"/>
      <c r="AH44" s="153"/>
      <c r="AI44" s="28"/>
      <c r="AN44" s="29"/>
    </row>
    <row r="45" spans="2:40" s="1" customFormat="1" ht="31.5" customHeight="1">
      <c r="B45" s="14" t="s">
        <v>71</v>
      </c>
      <c r="C45" s="40" t="s">
        <v>175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159"/>
      <c r="Z45" s="156" t="s">
        <v>68</v>
      </c>
      <c r="AA45" s="44"/>
      <c r="AB45" s="45">
        <v>1</v>
      </c>
      <c r="AC45" s="46"/>
      <c r="AD45" s="47"/>
      <c r="AE45" s="153"/>
      <c r="AF45" s="153"/>
      <c r="AG45" s="153"/>
      <c r="AH45" s="153"/>
      <c r="AI45" s="28"/>
      <c r="AN45" s="29"/>
    </row>
    <row r="46" spans="2:40" s="1" customFormat="1" ht="46.5" customHeight="1">
      <c r="B46" s="14" t="s">
        <v>73</v>
      </c>
      <c r="C46" s="40" t="s">
        <v>176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159"/>
      <c r="Z46" s="156" t="s">
        <v>68</v>
      </c>
      <c r="AA46" s="44"/>
      <c r="AB46" s="45">
        <v>3</v>
      </c>
      <c r="AC46" s="46"/>
      <c r="AD46" s="47"/>
      <c r="AE46" s="153"/>
      <c r="AF46" s="153"/>
      <c r="AG46" s="153"/>
      <c r="AH46" s="153"/>
      <c r="AI46" s="28"/>
      <c r="AN46" s="29"/>
    </row>
    <row r="47" spans="2:40" s="1" customFormat="1" ht="34.5" customHeight="1">
      <c r="B47" s="14" t="s">
        <v>75</v>
      </c>
      <c r="C47" s="40" t="s">
        <v>177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159"/>
      <c r="Z47" s="156" t="s">
        <v>68</v>
      </c>
      <c r="AA47" s="44"/>
      <c r="AB47" s="45">
        <v>4</v>
      </c>
      <c r="AC47" s="46"/>
      <c r="AD47" s="47"/>
      <c r="AE47" s="153"/>
      <c r="AF47" s="153"/>
      <c r="AG47" s="153"/>
      <c r="AH47" s="153"/>
      <c r="AI47" s="28"/>
      <c r="AN47" s="29"/>
    </row>
    <row r="48" spans="2:40" ht="31.5" customHeight="1">
      <c r="B48" s="14" t="s">
        <v>77</v>
      </c>
      <c r="C48" s="40" t="s">
        <v>178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159"/>
      <c r="Z48" s="156" t="s">
        <v>68</v>
      </c>
      <c r="AA48" s="44"/>
      <c r="AB48" s="45">
        <v>21</v>
      </c>
      <c r="AC48" s="46"/>
      <c r="AD48" s="47"/>
      <c r="AE48" s="153"/>
      <c r="AF48" s="153"/>
      <c r="AG48" s="153"/>
      <c r="AH48" s="153"/>
      <c r="AI48" s="28"/>
      <c r="AN48" s="29"/>
    </row>
    <row r="49" spans="2:40" ht="31.5" customHeight="1">
      <c r="B49" s="14" t="s">
        <v>79</v>
      </c>
      <c r="C49" s="40" t="s">
        <v>179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159"/>
      <c r="Z49" s="156" t="s">
        <v>68</v>
      </c>
      <c r="AA49" s="44"/>
      <c r="AB49" s="45">
        <v>1</v>
      </c>
      <c r="AC49" s="46"/>
      <c r="AD49" s="47"/>
      <c r="AE49" s="153"/>
      <c r="AF49" s="153"/>
      <c r="AG49" s="153"/>
      <c r="AH49" s="153"/>
      <c r="AI49" s="28"/>
      <c r="AN49" s="29"/>
    </row>
    <row r="50" spans="2:40" ht="34.5" customHeight="1">
      <c r="B50" s="14" t="s">
        <v>81</v>
      </c>
      <c r="C50" s="40" t="s">
        <v>180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159"/>
      <c r="Z50" s="156" t="s">
        <v>68</v>
      </c>
      <c r="AA50" s="44"/>
      <c r="AB50" s="45">
        <v>4</v>
      </c>
      <c r="AC50" s="46"/>
      <c r="AD50" s="47"/>
      <c r="AE50" s="153"/>
      <c r="AF50" s="153"/>
      <c r="AG50" s="153"/>
      <c r="AH50" s="153"/>
      <c r="AI50" s="28"/>
      <c r="AN50" s="29"/>
    </row>
    <row r="51" spans="2:40" ht="31.5" customHeight="1">
      <c r="B51" s="14" t="s">
        <v>83</v>
      </c>
      <c r="C51" s="40" t="s">
        <v>181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159"/>
      <c r="Z51" s="156" t="s">
        <v>68</v>
      </c>
      <c r="AA51" s="44"/>
      <c r="AB51" s="45">
        <v>3</v>
      </c>
      <c r="AC51" s="46"/>
      <c r="AD51" s="47"/>
      <c r="AE51" s="153"/>
      <c r="AF51" s="153"/>
      <c r="AG51" s="153"/>
      <c r="AH51" s="153"/>
      <c r="AI51" s="28"/>
      <c r="AN51" s="29"/>
    </row>
    <row r="52" spans="2:40" s="1" customFormat="1" ht="34.5" customHeight="1">
      <c r="B52" s="14" t="s">
        <v>85</v>
      </c>
      <c r="C52" s="40" t="s">
        <v>182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159"/>
      <c r="Z52" s="156" t="s">
        <v>68</v>
      </c>
      <c r="AA52" s="44"/>
      <c r="AB52" s="45">
        <v>2</v>
      </c>
      <c r="AC52" s="46"/>
      <c r="AD52" s="47"/>
      <c r="AE52" s="153"/>
      <c r="AF52" s="153"/>
      <c r="AG52" s="153"/>
      <c r="AH52" s="153"/>
      <c r="AI52" s="28"/>
      <c r="AN52" s="29"/>
    </row>
    <row r="53" spans="2:40" s="1" customFormat="1" ht="34.5" customHeight="1">
      <c r="B53" s="14" t="s">
        <v>87</v>
      </c>
      <c r="C53" s="40" t="s">
        <v>183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159"/>
      <c r="Z53" s="156" t="s">
        <v>68</v>
      </c>
      <c r="AA53" s="44"/>
      <c r="AB53" s="45">
        <v>2</v>
      </c>
      <c r="AC53" s="46"/>
      <c r="AD53" s="47"/>
      <c r="AE53" s="153"/>
      <c r="AF53" s="153"/>
      <c r="AG53" s="153"/>
      <c r="AH53" s="153"/>
      <c r="AI53" s="28"/>
      <c r="AN53" s="29"/>
    </row>
    <row r="54" spans="2:40" s="1" customFormat="1" ht="34.5" customHeight="1">
      <c r="B54" s="14" t="s">
        <v>89</v>
      </c>
      <c r="C54" s="40" t="s">
        <v>184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159"/>
      <c r="Z54" s="156" t="s">
        <v>68</v>
      </c>
      <c r="AA54" s="44"/>
      <c r="AB54" s="45">
        <v>2</v>
      </c>
      <c r="AC54" s="46"/>
      <c r="AD54" s="47"/>
      <c r="AE54" s="153"/>
      <c r="AF54" s="153"/>
      <c r="AG54" s="153"/>
      <c r="AH54" s="153"/>
      <c r="AI54" s="28"/>
      <c r="AN54" s="29"/>
    </row>
    <row r="55" spans="2:40" s="1" customFormat="1" ht="34.5" customHeight="1">
      <c r="B55" s="14" t="s">
        <v>91</v>
      </c>
      <c r="C55" s="40" t="s">
        <v>185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159"/>
      <c r="Z55" s="156" t="s">
        <v>68</v>
      </c>
      <c r="AA55" s="44"/>
      <c r="AB55" s="45">
        <v>1</v>
      </c>
      <c r="AC55" s="46"/>
      <c r="AD55" s="47"/>
      <c r="AE55" s="153"/>
      <c r="AF55" s="153"/>
      <c r="AG55" s="153"/>
      <c r="AH55" s="153"/>
      <c r="AI55" s="28"/>
      <c r="AN55" s="29"/>
    </row>
    <row r="56" spans="2:40" s="1" customFormat="1" ht="43.5" customHeight="1">
      <c r="B56" s="14" t="s">
        <v>93</v>
      </c>
      <c r="C56" s="40" t="s">
        <v>186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159"/>
      <c r="Z56" s="156" t="s">
        <v>68</v>
      </c>
      <c r="AA56" s="44"/>
      <c r="AB56" s="45">
        <v>1</v>
      </c>
      <c r="AC56" s="46"/>
      <c r="AD56" s="47"/>
      <c r="AE56" s="153"/>
      <c r="AF56" s="153"/>
      <c r="AG56" s="153"/>
      <c r="AH56" s="153"/>
      <c r="AI56" s="28"/>
      <c r="AN56" s="29"/>
    </row>
    <row r="57" spans="2:40" s="1" customFormat="1" ht="34.5" customHeight="1">
      <c r="B57" s="14" t="s">
        <v>95</v>
      </c>
      <c r="C57" s="40" t="s">
        <v>187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159"/>
      <c r="Z57" s="156" t="s">
        <v>68</v>
      </c>
      <c r="AA57" s="44"/>
      <c r="AB57" s="45">
        <v>2</v>
      </c>
      <c r="AC57" s="46"/>
      <c r="AD57" s="47"/>
      <c r="AE57" s="153"/>
      <c r="AF57" s="153"/>
      <c r="AG57" s="153"/>
      <c r="AH57" s="153"/>
      <c r="AI57" s="28"/>
      <c r="AN57" s="29"/>
    </row>
    <row r="58" spans="2:40" s="1" customFormat="1" ht="34.5" customHeight="1">
      <c r="B58" s="14" t="s">
        <v>97</v>
      </c>
      <c r="C58" s="40" t="s">
        <v>188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159"/>
      <c r="Z58" s="156" t="s">
        <v>68</v>
      </c>
      <c r="AA58" s="44"/>
      <c r="AB58" s="45">
        <v>1</v>
      </c>
      <c r="AC58" s="46"/>
      <c r="AD58" s="47"/>
      <c r="AE58" s="153"/>
      <c r="AF58" s="153"/>
      <c r="AG58" s="153"/>
      <c r="AH58" s="153"/>
      <c r="AI58" s="28"/>
      <c r="AN58" s="29"/>
    </row>
    <row r="59" spans="2:40" s="1" customFormat="1" ht="34.5" customHeight="1">
      <c r="B59" s="14" t="s">
        <v>99</v>
      </c>
      <c r="C59" s="40" t="s">
        <v>189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159"/>
      <c r="Z59" s="156" t="s">
        <v>68</v>
      </c>
      <c r="AA59" s="44"/>
      <c r="AB59" s="45">
        <v>2</v>
      </c>
      <c r="AC59" s="46"/>
      <c r="AD59" s="47"/>
      <c r="AE59" s="153"/>
      <c r="AF59" s="153"/>
      <c r="AG59" s="153"/>
      <c r="AH59" s="153"/>
      <c r="AI59" s="28"/>
      <c r="AN59" s="29"/>
    </row>
    <row r="60" spans="2:40" s="1" customFormat="1" ht="34.5" customHeight="1">
      <c r="B60" s="14" t="s">
        <v>101</v>
      </c>
      <c r="C60" s="40" t="s">
        <v>190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159"/>
      <c r="Z60" s="156" t="s">
        <v>68</v>
      </c>
      <c r="AA60" s="44"/>
      <c r="AB60" s="45">
        <v>1</v>
      </c>
      <c r="AC60" s="46"/>
      <c r="AD60" s="47"/>
      <c r="AE60" s="153"/>
      <c r="AF60" s="153"/>
      <c r="AG60" s="153"/>
      <c r="AH60" s="153"/>
      <c r="AI60" s="28"/>
      <c r="AN60" s="29"/>
    </row>
    <row r="61" spans="2:40" ht="34.5" customHeight="1">
      <c r="B61" s="14" t="s">
        <v>103</v>
      </c>
      <c r="C61" s="40" t="s">
        <v>191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159"/>
      <c r="Z61" s="156" t="s">
        <v>68</v>
      </c>
      <c r="AA61" s="44"/>
      <c r="AB61" s="45">
        <v>4</v>
      </c>
      <c r="AC61" s="46"/>
      <c r="AD61" s="47"/>
      <c r="AE61" s="153"/>
      <c r="AF61" s="153"/>
      <c r="AG61" s="153"/>
      <c r="AH61" s="153"/>
      <c r="AI61" s="28"/>
      <c r="AN61" s="29"/>
    </row>
    <row r="62" spans="2:40" s="1" customFormat="1" ht="34.5" customHeight="1">
      <c r="B62" s="14" t="s">
        <v>105</v>
      </c>
      <c r="C62" s="40" t="s">
        <v>192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159"/>
      <c r="Z62" s="156" t="s">
        <v>68</v>
      </c>
      <c r="AA62" s="44"/>
      <c r="AB62" s="45">
        <v>2</v>
      </c>
      <c r="AC62" s="46"/>
      <c r="AD62" s="47"/>
      <c r="AE62" s="153"/>
      <c r="AF62" s="153"/>
      <c r="AG62" s="153"/>
      <c r="AH62" s="153"/>
      <c r="AI62" s="28"/>
      <c r="AN62" s="29"/>
    </row>
    <row r="63" spans="2:40" s="1" customFormat="1" ht="34.5" customHeight="1">
      <c r="B63" s="14" t="s">
        <v>107</v>
      </c>
      <c r="C63" s="40" t="s">
        <v>193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159"/>
      <c r="Z63" s="156" t="s">
        <v>68</v>
      </c>
      <c r="AA63" s="44"/>
      <c r="AB63" s="45">
        <v>1</v>
      </c>
      <c r="AC63" s="46"/>
      <c r="AD63" s="47"/>
      <c r="AE63" s="153"/>
      <c r="AF63" s="153"/>
      <c r="AG63" s="153"/>
      <c r="AH63" s="153"/>
      <c r="AI63" s="28"/>
      <c r="AN63" s="29"/>
    </row>
    <row r="64" spans="2:40" s="1" customFormat="1" ht="32.25" customHeight="1">
      <c r="B64" s="14" t="s">
        <v>109</v>
      </c>
      <c r="C64" s="40" t="s">
        <v>194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159"/>
      <c r="Z64" s="156" t="s">
        <v>68</v>
      </c>
      <c r="AA64" s="44"/>
      <c r="AB64" s="45">
        <v>3</v>
      </c>
      <c r="AC64" s="46"/>
      <c r="AD64" s="47"/>
      <c r="AE64" s="153"/>
      <c r="AF64" s="153"/>
      <c r="AG64" s="153"/>
      <c r="AH64" s="153"/>
      <c r="AI64" s="28"/>
      <c r="AN64" s="29"/>
    </row>
    <row r="65" spans="2:40" s="1" customFormat="1" ht="39" customHeight="1">
      <c r="B65" s="14" t="s">
        <v>111</v>
      </c>
      <c r="C65" s="40" t="s">
        <v>195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159"/>
      <c r="Z65" s="156" t="s">
        <v>68</v>
      </c>
      <c r="AA65" s="44"/>
      <c r="AB65" s="45">
        <v>2</v>
      </c>
      <c r="AC65" s="46"/>
      <c r="AD65" s="47"/>
      <c r="AE65" s="153"/>
      <c r="AF65" s="153"/>
      <c r="AG65" s="153"/>
      <c r="AH65" s="153"/>
      <c r="AI65" s="28"/>
      <c r="AN65" s="29"/>
    </row>
    <row r="66" spans="2:40" s="1" customFormat="1" ht="40.5" customHeight="1">
      <c r="B66" s="14" t="s">
        <v>113</v>
      </c>
      <c r="C66" s="40" t="s">
        <v>196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159"/>
      <c r="Z66" s="156" t="s">
        <v>68</v>
      </c>
      <c r="AA66" s="44"/>
      <c r="AB66" s="45">
        <v>1</v>
      </c>
      <c r="AC66" s="46"/>
      <c r="AD66" s="47"/>
      <c r="AE66" s="153"/>
      <c r="AF66" s="153"/>
      <c r="AG66" s="153"/>
      <c r="AH66" s="153"/>
      <c r="AI66" s="28"/>
      <c r="AN66" s="29"/>
    </row>
    <row r="67" spans="2:40" s="1" customFormat="1" ht="38.25" customHeight="1">
      <c r="B67" s="14" t="s">
        <v>115</v>
      </c>
      <c r="C67" s="40" t="s">
        <v>197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159"/>
      <c r="Z67" s="156" t="s">
        <v>68</v>
      </c>
      <c r="AA67" s="44"/>
      <c r="AB67" s="45">
        <v>2</v>
      </c>
      <c r="AC67" s="46"/>
      <c r="AD67" s="47"/>
      <c r="AE67" s="153"/>
      <c r="AF67" s="153"/>
      <c r="AG67" s="153"/>
      <c r="AH67" s="153"/>
      <c r="AI67" s="28"/>
      <c r="AN67" s="29"/>
    </row>
    <row r="68" spans="2:40" s="1" customFormat="1" ht="40.5" customHeight="1">
      <c r="B68" s="14" t="s">
        <v>117</v>
      </c>
      <c r="C68" s="40" t="s">
        <v>198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159"/>
      <c r="Z68" s="156" t="s">
        <v>68</v>
      </c>
      <c r="AA68" s="44"/>
      <c r="AB68" s="45">
        <v>1</v>
      </c>
      <c r="AC68" s="46"/>
      <c r="AD68" s="47"/>
      <c r="AE68" s="153"/>
      <c r="AF68" s="153"/>
      <c r="AG68" s="153"/>
      <c r="AH68" s="153"/>
      <c r="AI68" s="28"/>
      <c r="AN68" s="29"/>
    </row>
    <row r="69" spans="2:40" s="1" customFormat="1" ht="42.75" customHeight="1">
      <c r="B69" s="14" t="s">
        <v>119</v>
      </c>
      <c r="C69" s="40" t="s">
        <v>199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159"/>
      <c r="Z69" s="156" t="s">
        <v>68</v>
      </c>
      <c r="AA69" s="44"/>
      <c r="AB69" s="45">
        <v>1</v>
      </c>
      <c r="AC69" s="46"/>
      <c r="AD69" s="47"/>
      <c r="AE69" s="153"/>
      <c r="AF69" s="153"/>
      <c r="AG69" s="153"/>
      <c r="AH69" s="153"/>
      <c r="AI69" s="28"/>
      <c r="AN69" s="29"/>
    </row>
    <row r="70" spans="2:40" s="1" customFormat="1" ht="42.75" customHeight="1">
      <c r="B70" s="14" t="s">
        <v>121</v>
      </c>
      <c r="C70" s="40" t="s">
        <v>200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159"/>
      <c r="Z70" s="156" t="s">
        <v>68</v>
      </c>
      <c r="AA70" s="44"/>
      <c r="AB70" s="45">
        <v>2</v>
      </c>
      <c r="AC70" s="46"/>
      <c r="AD70" s="47"/>
      <c r="AE70" s="153"/>
      <c r="AF70" s="153"/>
      <c r="AG70" s="153"/>
      <c r="AH70" s="153"/>
      <c r="AI70" s="28"/>
      <c r="AN70" s="29"/>
    </row>
    <row r="71" spans="2:40" s="1" customFormat="1" ht="28.5" customHeight="1">
      <c r="B71" s="14" t="s">
        <v>123</v>
      </c>
      <c r="C71" s="40" t="s">
        <v>201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159"/>
      <c r="Z71" s="156" t="s">
        <v>68</v>
      </c>
      <c r="AA71" s="44"/>
      <c r="AB71" s="45">
        <v>11</v>
      </c>
      <c r="AC71" s="46"/>
      <c r="AD71" s="47"/>
      <c r="AE71" s="153"/>
      <c r="AF71" s="153"/>
      <c r="AG71" s="153"/>
      <c r="AH71" s="153"/>
      <c r="AI71" s="28"/>
      <c r="AN71" s="29"/>
    </row>
    <row r="72" spans="2:40" s="1" customFormat="1" ht="28.5" customHeight="1">
      <c r="B72" s="14" t="s">
        <v>125</v>
      </c>
      <c r="C72" s="40" t="s">
        <v>202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159"/>
      <c r="Z72" s="156" t="s">
        <v>68</v>
      </c>
      <c r="AA72" s="44"/>
      <c r="AB72" s="45">
        <v>1</v>
      </c>
      <c r="AC72" s="46"/>
      <c r="AD72" s="47"/>
      <c r="AE72" s="153"/>
      <c r="AF72" s="153"/>
      <c r="AG72" s="153"/>
      <c r="AH72" s="153"/>
      <c r="AI72" s="28"/>
      <c r="AN72" s="29"/>
    </row>
    <row r="73" spans="2:40" s="1" customFormat="1" ht="28.5" customHeight="1">
      <c r="B73" s="14" t="s">
        <v>127</v>
      </c>
      <c r="C73" s="40" t="s">
        <v>203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159"/>
      <c r="Z73" s="156" t="s">
        <v>68</v>
      </c>
      <c r="AA73" s="44"/>
      <c r="AB73" s="45">
        <v>2</v>
      </c>
      <c r="AC73" s="46"/>
      <c r="AD73" s="47"/>
      <c r="AE73" s="153"/>
      <c r="AF73" s="153"/>
      <c r="AG73" s="153"/>
      <c r="AH73" s="153"/>
      <c r="AI73" s="28"/>
      <c r="AN73" s="29"/>
    </row>
    <row r="74" spans="2:40" s="1" customFormat="1" ht="28.5" customHeight="1">
      <c r="B74" s="14" t="s">
        <v>129</v>
      </c>
      <c r="C74" s="40" t="s">
        <v>204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159"/>
      <c r="Z74" s="156" t="s">
        <v>131</v>
      </c>
      <c r="AA74" s="44"/>
      <c r="AB74" s="45">
        <v>1</v>
      </c>
      <c r="AC74" s="46"/>
      <c r="AD74" s="47"/>
      <c r="AE74" s="153"/>
      <c r="AF74" s="153"/>
      <c r="AG74" s="153"/>
      <c r="AH74" s="153"/>
      <c r="AI74" s="28"/>
      <c r="AN74" s="29"/>
    </row>
    <row r="75" spans="2:40" s="1" customFormat="1" ht="40.5" customHeight="1" thickBot="1">
      <c r="B75" s="14" t="s">
        <v>132</v>
      </c>
      <c r="C75" s="40" t="s">
        <v>205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159"/>
      <c r="Z75" s="157" t="s">
        <v>26</v>
      </c>
      <c r="AA75" s="86"/>
      <c r="AB75" s="87">
        <v>32.6</v>
      </c>
      <c r="AC75" s="88"/>
      <c r="AD75" s="89"/>
      <c r="AE75" s="153"/>
      <c r="AF75" s="153"/>
      <c r="AG75" s="153"/>
      <c r="AH75" s="153"/>
      <c r="AI75" s="28"/>
      <c r="AN75" s="29"/>
    </row>
    <row r="76" spans="2:40" s="1" customFormat="1" ht="40.5" customHeight="1" thickBot="1">
      <c r="B76" s="14" t="s">
        <v>207</v>
      </c>
      <c r="C76" s="40" t="s">
        <v>210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159"/>
      <c r="Z76" s="157" t="s">
        <v>68</v>
      </c>
      <c r="AA76" s="86"/>
      <c r="AB76" s="87">
        <v>1</v>
      </c>
      <c r="AC76" s="88"/>
      <c r="AD76" s="89"/>
      <c r="AE76" s="153"/>
      <c r="AF76" s="153"/>
      <c r="AG76" s="153"/>
      <c r="AH76" s="153"/>
      <c r="AI76" s="28"/>
      <c r="AN76" s="29"/>
    </row>
    <row r="77" spans="2:40" s="1" customFormat="1" ht="40.5" customHeight="1" thickBot="1">
      <c r="B77" s="14" t="s">
        <v>208</v>
      </c>
      <c r="C77" s="40" t="s">
        <v>211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159"/>
      <c r="Z77" s="157" t="s">
        <v>68</v>
      </c>
      <c r="AA77" s="86"/>
      <c r="AB77" s="87">
        <v>1</v>
      </c>
      <c r="AC77" s="88"/>
      <c r="AD77" s="89"/>
      <c r="AE77" s="153"/>
      <c r="AF77" s="153"/>
      <c r="AG77" s="153"/>
      <c r="AH77" s="153"/>
      <c r="AI77" s="28"/>
      <c r="AN77" s="29"/>
    </row>
    <row r="78" spans="2:40" s="1" customFormat="1" ht="40.5" customHeight="1" thickBot="1">
      <c r="B78" s="158" t="s">
        <v>209</v>
      </c>
      <c r="C78" s="82" t="s">
        <v>212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160"/>
      <c r="Z78" s="157" t="s">
        <v>68</v>
      </c>
      <c r="AA78" s="86"/>
      <c r="AB78" s="87">
        <v>1</v>
      </c>
      <c r="AC78" s="88"/>
      <c r="AD78" s="89"/>
      <c r="AE78" s="153"/>
      <c r="AF78" s="153"/>
      <c r="AG78" s="153"/>
      <c r="AH78" s="153"/>
      <c r="AI78" s="28"/>
      <c r="AN78" s="29"/>
    </row>
    <row r="79" spans="2:40" s="3" customFormat="1" ht="22.5" customHeight="1"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36"/>
      <c r="Z79" s="149"/>
      <c r="AA79" s="149"/>
      <c r="AB79" s="149"/>
      <c r="AC79" s="149"/>
      <c r="AD79" s="177"/>
      <c r="AE79" s="177"/>
      <c r="AF79" s="177"/>
      <c r="AG79" s="177"/>
      <c r="AH79" s="177"/>
    </row>
    <row r="80" spans="2:40" s="166" customFormat="1" ht="40.5" customHeight="1">
      <c r="B80" s="174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65"/>
      <c r="Y80" s="165"/>
      <c r="Z80" s="176"/>
      <c r="AA80" s="176"/>
      <c r="AB80" s="176"/>
      <c r="AC80" s="176"/>
      <c r="AD80" s="171"/>
      <c r="AE80" s="171"/>
      <c r="AF80" s="171"/>
      <c r="AG80" s="171"/>
      <c r="AH80" s="171"/>
    </row>
    <row r="81" spans="2:47" s="166" customFormat="1" ht="35.25" customHeight="1"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5"/>
      <c r="Y81" s="165"/>
      <c r="Z81" s="170"/>
      <c r="AA81" s="170"/>
      <c r="AB81" s="170"/>
      <c r="AC81" s="170"/>
      <c r="AD81" s="171"/>
      <c r="AE81" s="171"/>
      <c r="AF81" s="171"/>
      <c r="AG81" s="171"/>
      <c r="AH81" s="171"/>
    </row>
    <row r="82" spans="2:47" s="166" customFormat="1" ht="22.5" customHeight="1">
      <c r="B82" s="172"/>
      <c r="C82" s="172"/>
      <c r="D82" s="172"/>
      <c r="E82" s="172"/>
      <c r="F82" s="172"/>
      <c r="G82" s="172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50"/>
      <c r="AA82" s="150"/>
      <c r="AB82" s="150"/>
      <c r="AC82" s="150"/>
      <c r="AD82" s="151"/>
      <c r="AE82" s="151"/>
      <c r="AF82" s="151"/>
      <c r="AG82" s="151"/>
      <c r="AH82" s="151"/>
    </row>
    <row r="83" spans="2:47" s="168" customFormat="1"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67"/>
      <c r="S83" s="167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</row>
    <row r="84" spans="2:47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2"/>
      <c r="M84" s="32"/>
      <c r="N84" s="32"/>
      <c r="O84" s="32"/>
      <c r="P84" s="32"/>
      <c r="Q84" s="32"/>
      <c r="R84" s="32"/>
      <c r="S84" s="32"/>
      <c r="T84" s="31"/>
      <c r="U84" s="31"/>
      <c r="V84" s="31"/>
      <c r="W84" s="31"/>
      <c r="X84" s="31"/>
      <c r="Y84" s="31"/>
      <c r="Z84" s="31"/>
      <c r="AA84" s="31"/>
      <c r="AB84" s="32"/>
      <c r="AC84" s="32"/>
      <c r="AD84" s="32"/>
      <c r="AE84" s="32"/>
      <c r="AF84" s="32"/>
      <c r="AG84" s="32"/>
      <c r="AH84" s="3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2:47" ht="15.75" thickBo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2"/>
      <c r="M85" s="32"/>
      <c r="N85" s="32"/>
      <c r="O85" s="32"/>
      <c r="P85" s="32"/>
      <c r="Q85" s="32"/>
      <c r="R85" s="32"/>
      <c r="S85" s="32"/>
      <c r="T85" s="34" t="s">
        <v>140</v>
      </c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9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2:47" ht="15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2"/>
      <c r="M86" s="32"/>
      <c r="N86" s="32"/>
      <c r="O86" s="32"/>
      <c r="P86" s="32"/>
      <c r="Q86" s="32"/>
      <c r="R86" s="32"/>
      <c r="S86" s="32"/>
      <c r="T86" s="35" t="s">
        <v>141</v>
      </c>
      <c r="U86" s="35"/>
      <c r="V86" s="35"/>
      <c r="W86" s="35"/>
      <c r="X86" s="35"/>
      <c r="Y86" s="35"/>
      <c r="Z86" s="35"/>
      <c r="AA86" s="35"/>
      <c r="AB86" s="6"/>
      <c r="AC86" s="6"/>
      <c r="AD86" s="6"/>
      <c r="AE86" s="6"/>
      <c r="AF86" s="6"/>
      <c r="AG86" s="6"/>
      <c r="AH86" s="3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2:47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  <c r="M87" s="32"/>
      <c r="N87" s="32"/>
      <c r="O87" s="32"/>
      <c r="P87" s="32"/>
      <c r="Q87" s="32"/>
      <c r="R87" s="32"/>
      <c r="S87" s="32"/>
      <c r="T87" s="31"/>
      <c r="U87" s="31"/>
      <c r="V87" s="31"/>
      <c r="W87" s="31"/>
      <c r="X87" s="31"/>
      <c r="Y87" s="31"/>
      <c r="Z87" s="31"/>
      <c r="AA87" s="31"/>
      <c r="AB87" s="32"/>
      <c r="AC87" s="32"/>
      <c r="AD87" s="32"/>
      <c r="AE87" s="32"/>
      <c r="AF87" s="32"/>
      <c r="AG87" s="32"/>
      <c r="AH87" s="3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2:47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  <c r="M88" s="32"/>
      <c r="N88" s="32"/>
      <c r="O88" s="32"/>
      <c r="P88" s="32"/>
      <c r="Q88" s="32"/>
      <c r="R88" s="32"/>
      <c r="S88" s="32"/>
      <c r="T88" s="31"/>
      <c r="U88" s="31"/>
      <c r="V88" s="31"/>
      <c r="W88" s="31"/>
      <c r="X88" s="31"/>
      <c r="Y88" s="31"/>
      <c r="Z88" s="31"/>
      <c r="AA88" s="31"/>
      <c r="AB88" s="32"/>
      <c r="AC88" s="32"/>
      <c r="AD88" s="32"/>
      <c r="AE88" s="32"/>
      <c r="AF88" s="32"/>
      <c r="AG88" s="32"/>
      <c r="AH88" s="3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2:47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  <c r="M89" s="32"/>
      <c r="N89" s="32"/>
      <c r="O89" s="32"/>
      <c r="P89" s="32"/>
      <c r="Q89" s="32"/>
      <c r="R89" s="32"/>
      <c r="S89" s="32"/>
      <c r="T89" s="31"/>
      <c r="U89" s="31"/>
      <c r="V89" s="31"/>
      <c r="W89" s="31"/>
      <c r="X89" s="31"/>
      <c r="Y89" s="31"/>
      <c r="Z89" s="31"/>
      <c r="AA89" s="31"/>
      <c r="AB89" s="32"/>
      <c r="AC89" s="32"/>
      <c r="AD89" s="32"/>
      <c r="AE89" s="32"/>
      <c r="AF89" s="32"/>
      <c r="AG89" s="32"/>
      <c r="AH89" s="32"/>
      <c r="AK89" s="31"/>
      <c r="AL89" s="31"/>
      <c r="AM89" s="32"/>
      <c r="AN89" s="32"/>
      <c r="AO89" s="32"/>
      <c r="AP89" s="32"/>
      <c r="AQ89" s="32"/>
      <c r="AR89" s="32"/>
      <c r="AS89" s="32"/>
    </row>
    <row r="90" spans="2:47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K90" s="32"/>
      <c r="AL90" s="32"/>
      <c r="AM90" s="32"/>
      <c r="AN90" s="32"/>
      <c r="AO90" s="32"/>
      <c r="AP90" s="32"/>
      <c r="AQ90" s="32"/>
      <c r="AR90" s="32"/>
      <c r="AS90" s="32"/>
    </row>
    <row r="91" spans="2:47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K91" s="32"/>
      <c r="AL91" s="32"/>
      <c r="AM91" s="32"/>
      <c r="AN91" s="32"/>
      <c r="AO91" s="32"/>
      <c r="AP91" s="32"/>
      <c r="AQ91" s="32"/>
      <c r="AR91" s="32"/>
      <c r="AS91" s="32"/>
    </row>
    <row r="92" spans="2:47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K92" s="32"/>
      <c r="AL92" s="32"/>
      <c r="AM92" s="32"/>
      <c r="AN92" s="32"/>
      <c r="AO92" s="32"/>
      <c r="AP92" s="32"/>
      <c r="AQ92" s="32"/>
      <c r="AR92" s="32"/>
      <c r="AS92" s="32"/>
    </row>
    <row r="93" spans="2:47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K93" s="32"/>
      <c r="AL93" s="32"/>
      <c r="AM93" s="32"/>
      <c r="AN93" s="32"/>
      <c r="AO93" s="32"/>
      <c r="AP93" s="32"/>
      <c r="AQ93" s="32"/>
      <c r="AR93" s="32"/>
      <c r="AS93" s="32"/>
    </row>
  </sheetData>
  <mergeCells count="202">
    <mergeCell ref="C77:Y77"/>
    <mergeCell ref="C78:Y78"/>
    <mergeCell ref="C71:Y71"/>
    <mergeCell ref="C72:Y72"/>
    <mergeCell ref="C73:Y73"/>
    <mergeCell ref="C74:Y74"/>
    <mergeCell ref="C75:Y75"/>
    <mergeCell ref="C76:Y76"/>
    <mergeCell ref="C65:Y65"/>
    <mergeCell ref="C66:Y66"/>
    <mergeCell ref="C67:Y67"/>
    <mergeCell ref="C68:Y68"/>
    <mergeCell ref="C69:Y69"/>
    <mergeCell ref="C70:Y70"/>
    <mergeCell ref="C59:Y59"/>
    <mergeCell ref="C60:Y60"/>
    <mergeCell ref="C61:Y61"/>
    <mergeCell ref="C62:Y62"/>
    <mergeCell ref="C63:Y63"/>
    <mergeCell ref="C64:Y64"/>
    <mergeCell ref="C53:Y53"/>
    <mergeCell ref="C54:Y54"/>
    <mergeCell ref="C55:Y55"/>
    <mergeCell ref="C56:Y56"/>
    <mergeCell ref="C57:Y57"/>
    <mergeCell ref="C58:Y58"/>
    <mergeCell ref="C47:Y47"/>
    <mergeCell ref="C48:Y48"/>
    <mergeCell ref="C49:Y49"/>
    <mergeCell ref="C50:Y50"/>
    <mergeCell ref="C51:Y51"/>
    <mergeCell ref="C52:Y52"/>
    <mergeCell ref="C41:Y41"/>
    <mergeCell ref="C42:Y42"/>
    <mergeCell ref="C43:Y43"/>
    <mergeCell ref="C44:Y44"/>
    <mergeCell ref="C45:Y45"/>
    <mergeCell ref="C46:Y46"/>
    <mergeCell ref="C35:Y35"/>
    <mergeCell ref="C36:Y36"/>
    <mergeCell ref="C37:Y37"/>
    <mergeCell ref="C38:Y38"/>
    <mergeCell ref="C39:Y39"/>
    <mergeCell ref="C40:Y40"/>
    <mergeCell ref="C29:Y29"/>
    <mergeCell ref="C30:Y30"/>
    <mergeCell ref="C31:Y31"/>
    <mergeCell ref="C32:Y32"/>
    <mergeCell ref="C33:Y33"/>
    <mergeCell ref="C34:Y34"/>
    <mergeCell ref="C23:Y23"/>
    <mergeCell ref="C24:Y24"/>
    <mergeCell ref="C25:Y25"/>
    <mergeCell ref="C26:Y26"/>
    <mergeCell ref="C27:Y27"/>
    <mergeCell ref="C28:Y28"/>
    <mergeCell ref="B79:X79"/>
    <mergeCell ref="Z79:AC79"/>
    <mergeCell ref="Z77:AA77"/>
    <mergeCell ref="AB77:AD77"/>
    <mergeCell ref="Z78:AA78"/>
    <mergeCell ref="AB78:AD78"/>
    <mergeCell ref="Z75:AA75"/>
    <mergeCell ref="AB75:AD75"/>
    <mergeCell ref="Z76:AA76"/>
    <mergeCell ref="AB76:AD76"/>
    <mergeCell ref="Z73:AA73"/>
    <mergeCell ref="AB73:AD73"/>
    <mergeCell ref="Z74:AA74"/>
    <mergeCell ref="AB74:AD74"/>
    <mergeCell ref="Z71:AA71"/>
    <mergeCell ref="AB71:AD71"/>
    <mergeCell ref="Z72:AA72"/>
    <mergeCell ref="AB72:AD72"/>
    <mergeCell ref="Z69:AA69"/>
    <mergeCell ref="AB69:AD69"/>
    <mergeCell ref="Z70:AA70"/>
    <mergeCell ref="AB70:AD70"/>
    <mergeCell ref="Z67:AA67"/>
    <mergeCell ref="AB67:AD67"/>
    <mergeCell ref="Z68:AA68"/>
    <mergeCell ref="AB68:AD68"/>
    <mergeCell ref="Z65:AA65"/>
    <mergeCell ref="AB65:AD65"/>
    <mergeCell ref="Z66:AA66"/>
    <mergeCell ref="AB66:AD66"/>
    <mergeCell ref="Z63:AA63"/>
    <mergeCell ref="AB63:AD63"/>
    <mergeCell ref="Z64:AA64"/>
    <mergeCell ref="AB64:AD64"/>
    <mergeCell ref="Z61:AA61"/>
    <mergeCell ref="AB61:AD61"/>
    <mergeCell ref="Z62:AA62"/>
    <mergeCell ref="AB62:AD62"/>
    <mergeCell ref="Z59:AA59"/>
    <mergeCell ref="AB59:AD59"/>
    <mergeCell ref="Z60:AA60"/>
    <mergeCell ref="AB60:AD60"/>
    <mergeCell ref="Z57:AA57"/>
    <mergeCell ref="AB57:AD57"/>
    <mergeCell ref="Z58:AA58"/>
    <mergeCell ref="AB58:AD58"/>
    <mergeCell ref="Z55:AA55"/>
    <mergeCell ref="AB55:AD55"/>
    <mergeCell ref="Z56:AA56"/>
    <mergeCell ref="AB56:AD56"/>
    <mergeCell ref="Z53:AA53"/>
    <mergeCell ref="AB53:AD53"/>
    <mergeCell ref="Z54:AA54"/>
    <mergeCell ref="AB54:AD54"/>
    <mergeCell ref="Z51:AA51"/>
    <mergeCell ref="AB51:AD51"/>
    <mergeCell ref="Z52:AA52"/>
    <mergeCell ref="AB52:AD52"/>
    <mergeCell ref="Z49:AA49"/>
    <mergeCell ref="AB49:AD49"/>
    <mergeCell ref="Z50:AA50"/>
    <mergeCell ref="AB50:AD50"/>
    <mergeCell ref="Z47:AA47"/>
    <mergeCell ref="AB47:AD47"/>
    <mergeCell ref="Z48:AA48"/>
    <mergeCell ref="AB48:AD48"/>
    <mergeCell ref="Z45:AA45"/>
    <mergeCell ref="AB45:AD45"/>
    <mergeCell ref="Z46:AA46"/>
    <mergeCell ref="AB46:AD46"/>
    <mergeCell ref="Z43:AA43"/>
    <mergeCell ref="AB43:AD43"/>
    <mergeCell ref="Z44:AA44"/>
    <mergeCell ref="AB44:AD44"/>
    <mergeCell ref="Z41:AA41"/>
    <mergeCell ref="AB41:AD41"/>
    <mergeCell ref="Z42:AA42"/>
    <mergeCell ref="AB42:AD42"/>
    <mergeCell ref="Z39:AA39"/>
    <mergeCell ref="AB39:AD39"/>
    <mergeCell ref="Z40:AA40"/>
    <mergeCell ref="AB40:AD40"/>
    <mergeCell ref="Z37:AA37"/>
    <mergeCell ref="AB37:AD37"/>
    <mergeCell ref="Z38:AA38"/>
    <mergeCell ref="AB38:AD38"/>
    <mergeCell ref="Z35:AA35"/>
    <mergeCell ref="AB35:AD35"/>
    <mergeCell ref="Z36:AA36"/>
    <mergeCell ref="AB36:AD36"/>
    <mergeCell ref="Z33:AA33"/>
    <mergeCell ref="AB33:AD33"/>
    <mergeCell ref="Z34:AA34"/>
    <mergeCell ref="AB34:AD34"/>
    <mergeCell ref="Z31:AA31"/>
    <mergeCell ref="AB31:AD31"/>
    <mergeCell ref="Z32:AA32"/>
    <mergeCell ref="AB32:AD32"/>
    <mergeCell ref="Z29:AA29"/>
    <mergeCell ref="AB29:AD29"/>
    <mergeCell ref="Z30:AA30"/>
    <mergeCell ref="AB30:AD30"/>
    <mergeCell ref="Z27:AA27"/>
    <mergeCell ref="AB27:AD27"/>
    <mergeCell ref="Z28:AA28"/>
    <mergeCell ref="AB28:AD28"/>
    <mergeCell ref="Z25:AA25"/>
    <mergeCell ref="AB25:AD25"/>
    <mergeCell ref="Z26:AA26"/>
    <mergeCell ref="AB26:AD26"/>
    <mergeCell ref="Z23:AA23"/>
    <mergeCell ref="AB23:AD23"/>
    <mergeCell ref="Z24:AA24"/>
    <mergeCell ref="AB24:AD24"/>
    <mergeCell ref="B18:C18"/>
    <mergeCell ref="E18:O18"/>
    <mergeCell ref="Y18:AB18"/>
    <mergeCell ref="Z22:AA22"/>
    <mergeCell ref="AB22:AD22"/>
    <mergeCell ref="C22:Y22"/>
    <mergeCell ref="B16:C16"/>
    <mergeCell ref="E16:O16"/>
    <mergeCell ref="S16:AB16"/>
    <mergeCell ref="B17:C17"/>
    <mergeCell ref="E17:O17"/>
    <mergeCell ref="Y17:AB17"/>
    <mergeCell ref="B13:D14"/>
    <mergeCell ref="E13:O14"/>
    <mergeCell ref="B15:D15"/>
    <mergeCell ref="E15:O15"/>
    <mergeCell ref="S15:AB15"/>
    <mergeCell ref="J10:AE10"/>
    <mergeCell ref="B11:G11"/>
    <mergeCell ref="S11:X11"/>
    <mergeCell ref="Y11:AB11"/>
    <mergeCell ref="B12:O12"/>
    <mergeCell ref="S12:U12"/>
    <mergeCell ref="V12:AD12"/>
    <mergeCell ref="I1:AD4"/>
    <mergeCell ref="I5:R5"/>
    <mergeCell ref="I6:Q6"/>
    <mergeCell ref="V6:AC6"/>
    <mergeCell ref="I7:P7"/>
    <mergeCell ref="B8:B9"/>
    <mergeCell ref="I8:O8"/>
    <mergeCell ref="I9:S9"/>
  </mergeCells>
  <pageMargins left="0.7" right="0.7" top="0.75" bottom="0.75" header="0.3" footer="0.3"/>
  <pageSetup paperSize="9" scale="56" fitToHeight="0" orientation="portrait" horizontalDpi="1200" verticalDpi="1200" r:id="rId1"/>
  <colBreaks count="2" manualBreakCount="2">
    <brk id="35" max="84" man="1"/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FC 07-26 COMMERCE DE GROS</vt:lpstr>
      <vt:lpstr>FC 08-26 ETP</vt:lpstr>
      <vt:lpstr>fc 01-2026</vt:lpstr>
      <vt:lpstr>attachement</vt:lpstr>
      <vt:lpstr>attachement!Zone_d_impression</vt:lpstr>
      <vt:lpstr>'fc 01-2026'!Zone_d_impression</vt:lpstr>
      <vt:lpstr>'FC 07-26 COMMERCE DE GROS'!Zone_d_impression</vt:lpstr>
      <vt:lpstr>'FC 08-26 ETP'!Zone_d_impression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ABDELLAZIZ</dc:creator>
  <cp:lastModifiedBy>M INFO</cp:lastModifiedBy>
  <cp:lastPrinted>2026-04-15T11:32:05Z</cp:lastPrinted>
  <dcterms:created xsi:type="dcterms:W3CDTF">2026-03-12T11:38:00Z</dcterms:created>
  <dcterms:modified xsi:type="dcterms:W3CDTF">2026-04-15T11:34:49Z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85F95376879E4DA8926CEDCDFF1ACE6B_13</vt:lpwstr>
  </property>
  <property fmtid="{D5CDD505-2E9C-101B-9397-08002B2CF9AE}" pid="3" name="KSOProductBuildVer">
    <vt:lpwstr>3084-12.2.0.23196</vt:lpwstr>
  </property>
</Properties>
</file>